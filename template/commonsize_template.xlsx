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cumenfc-my.sharepoint.com/personal/kaushal_acumenfc_co_in/Documents/Claude skill training/Commonsize/commonsize_app/template/"/>
    </mc:Choice>
  </mc:AlternateContent>
  <xr:revisionPtr revIDLastSave="31" documentId="11_78A1B0D71B034503EAB6D76A8E9D5CBDE356C538" xr6:coauthVersionLast="47" xr6:coauthVersionMax="47" xr10:uidLastSave="{7D9656AE-05EB-4E42-8ECA-514513A99D36}"/>
  <bookViews>
    <workbookView xWindow="-110" yWindow="-110" windowWidth="19420" windowHeight="10300" tabRatio="711" activeTab="4" xr2:uid="{00000000-000D-0000-FFFF-FFFF00000000}"/>
  </bookViews>
  <sheets>
    <sheet name="IS" sheetId="1" r:id="rId1"/>
    <sheet name="BS" sheetId="2" r:id="rId2"/>
    <sheet name="CF" sheetId="3" r:id="rId3"/>
    <sheet name="Sch." sheetId="4" r:id="rId4"/>
    <sheet name="Ratios" sheetId="5" r:id="rId5"/>
  </sheets>
  <definedNames>
    <definedName name="curr">IS!$AI$4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G159" i="4"/>
  <c r="G157" i="4"/>
  <c r="F18" i="2"/>
  <c r="F159" i="4"/>
  <c r="F157" i="4"/>
  <c r="E18" i="2"/>
  <c r="E159" i="4"/>
  <c r="E157" i="4"/>
  <c r="D18" i="2"/>
  <c r="D159" i="4"/>
  <c r="D157" i="4"/>
  <c r="C18" i="2"/>
  <c r="C159" i="4"/>
  <c r="C157" i="4"/>
  <c r="R484" i="4"/>
  <c r="Q484" i="4"/>
  <c r="P484" i="4"/>
  <c r="O484" i="4"/>
  <c r="R483" i="4"/>
  <c r="Q483" i="4"/>
  <c r="P483" i="4"/>
  <c r="O483" i="4"/>
  <c r="R482" i="4"/>
  <c r="Q482" i="4"/>
  <c r="P482" i="4"/>
  <c r="O482" i="4"/>
  <c r="R481" i="4"/>
  <c r="Q481" i="4"/>
  <c r="P481" i="4"/>
  <c r="O481" i="4"/>
  <c r="R480" i="4"/>
  <c r="Q480" i="4"/>
  <c r="P480" i="4"/>
  <c r="O480" i="4"/>
  <c r="R479" i="4"/>
  <c r="Q479" i="4"/>
  <c r="P479" i="4"/>
  <c r="O479" i="4"/>
  <c r="R478" i="4"/>
  <c r="Q478" i="4"/>
  <c r="P478" i="4"/>
  <c r="O478" i="4"/>
  <c r="R477" i="4"/>
  <c r="Q477" i="4"/>
  <c r="P477" i="4"/>
  <c r="O477" i="4"/>
  <c r="R476" i="4"/>
  <c r="Q476" i="4"/>
  <c r="P476" i="4"/>
  <c r="O476" i="4"/>
  <c r="R475" i="4"/>
  <c r="Q475" i="4"/>
  <c r="P475" i="4"/>
  <c r="O475" i="4"/>
  <c r="R474" i="4"/>
  <c r="Q474" i="4"/>
  <c r="P474" i="4"/>
  <c r="O474" i="4"/>
  <c r="R473" i="4"/>
  <c r="Q473" i="4"/>
  <c r="P473" i="4"/>
  <c r="O473" i="4"/>
  <c r="R472" i="4"/>
  <c r="Q472" i="4"/>
  <c r="P472" i="4"/>
  <c r="O472" i="4"/>
  <c r="L472" i="4"/>
  <c r="R471" i="4"/>
  <c r="Q471" i="4"/>
  <c r="P471" i="4"/>
  <c r="O471" i="4"/>
  <c r="R470" i="4"/>
  <c r="Q470" i="4"/>
  <c r="P470" i="4"/>
  <c r="O470" i="4"/>
  <c r="R469" i="4"/>
  <c r="Q469" i="4"/>
  <c r="P469" i="4"/>
  <c r="O469" i="4"/>
  <c r="R468" i="4"/>
  <c r="Q468" i="4"/>
  <c r="P468" i="4"/>
  <c r="O468" i="4"/>
  <c r="R467" i="4"/>
  <c r="Q467" i="4"/>
  <c r="P467" i="4"/>
  <c r="O467" i="4"/>
  <c r="R466" i="4"/>
  <c r="Q466" i="4"/>
  <c r="P466" i="4"/>
  <c r="O466" i="4"/>
  <c r="R465" i="4"/>
  <c r="Q465" i="4"/>
  <c r="P465" i="4"/>
  <c r="O465" i="4"/>
  <c r="R464" i="4"/>
  <c r="Q464" i="4"/>
  <c r="P464" i="4"/>
  <c r="O464" i="4"/>
  <c r="R463" i="4"/>
  <c r="Q463" i="4"/>
  <c r="P463" i="4"/>
  <c r="O463" i="4"/>
  <c r="R462" i="4"/>
  <c r="Q462" i="4"/>
  <c r="P462" i="4"/>
  <c r="O462" i="4"/>
  <c r="R461" i="4"/>
  <c r="Q461" i="4"/>
  <c r="P461" i="4"/>
  <c r="O461" i="4"/>
  <c r="R460" i="4"/>
  <c r="Q460" i="4"/>
  <c r="P460" i="4"/>
  <c r="O460" i="4"/>
  <c r="R459" i="4"/>
  <c r="Q459" i="4"/>
  <c r="P459" i="4"/>
  <c r="O459" i="4"/>
  <c r="R458" i="4"/>
  <c r="Q458" i="4"/>
  <c r="P458" i="4"/>
  <c r="O458" i="4"/>
  <c r="L458" i="4"/>
  <c r="R457" i="4"/>
  <c r="Q457" i="4"/>
  <c r="P457" i="4"/>
  <c r="O457" i="4"/>
  <c r="R456" i="4"/>
  <c r="Q456" i="4"/>
  <c r="P456" i="4"/>
  <c r="O456" i="4"/>
  <c r="L456" i="4"/>
  <c r="R455" i="4"/>
  <c r="Q455" i="4"/>
  <c r="P455" i="4"/>
  <c r="O455" i="4"/>
  <c r="R454" i="4"/>
  <c r="Q454" i="4"/>
  <c r="P454" i="4"/>
  <c r="O454" i="4"/>
  <c r="R453" i="4"/>
  <c r="Q453" i="4"/>
  <c r="P453" i="4"/>
  <c r="O453" i="4"/>
  <c r="G452" i="4"/>
  <c r="R452" i="4" s="1"/>
  <c r="F452" i="4"/>
  <c r="E452" i="4"/>
  <c r="D452" i="4"/>
  <c r="C452" i="4"/>
  <c r="R450" i="4"/>
  <c r="Q450" i="4"/>
  <c r="P450" i="4"/>
  <c r="O450" i="4"/>
  <c r="R449" i="4"/>
  <c r="Q449" i="4"/>
  <c r="P449" i="4"/>
  <c r="O449" i="4"/>
  <c r="R448" i="4"/>
  <c r="Q448" i="4"/>
  <c r="P448" i="4"/>
  <c r="O448" i="4"/>
  <c r="R447" i="4"/>
  <c r="Q447" i="4"/>
  <c r="P447" i="4"/>
  <c r="O447" i="4"/>
  <c r="R446" i="4"/>
  <c r="Q446" i="4"/>
  <c r="P446" i="4"/>
  <c r="O446" i="4"/>
  <c r="R445" i="4"/>
  <c r="Q445" i="4"/>
  <c r="P445" i="4"/>
  <c r="O445" i="4"/>
  <c r="R444" i="4"/>
  <c r="Q444" i="4"/>
  <c r="P444" i="4"/>
  <c r="O444" i="4"/>
  <c r="R443" i="4"/>
  <c r="Q443" i="4"/>
  <c r="P443" i="4"/>
  <c r="O443" i="4"/>
  <c r="R442" i="4"/>
  <c r="Q442" i="4"/>
  <c r="P442" i="4"/>
  <c r="O442" i="4"/>
  <c r="R441" i="4"/>
  <c r="Q441" i="4"/>
  <c r="P441" i="4"/>
  <c r="O441" i="4"/>
  <c r="R440" i="4"/>
  <c r="Q440" i="4"/>
  <c r="P440" i="4"/>
  <c r="O440" i="4"/>
  <c r="R439" i="4"/>
  <c r="Q439" i="4"/>
  <c r="P439" i="4"/>
  <c r="O439" i="4"/>
  <c r="M439" i="4"/>
  <c r="R438" i="4"/>
  <c r="Q438" i="4"/>
  <c r="P438" i="4"/>
  <c r="O438" i="4"/>
  <c r="R437" i="4"/>
  <c r="Q437" i="4"/>
  <c r="P437" i="4"/>
  <c r="O437" i="4"/>
  <c r="R436" i="4"/>
  <c r="Q436" i="4"/>
  <c r="P436" i="4"/>
  <c r="O436" i="4"/>
  <c r="R435" i="4"/>
  <c r="Q435" i="4"/>
  <c r="P435" i="4"/>
  <c r="O435" i="4"/>
  <c r="L435" i="4"/>
  <c r="R434" i="4"/>
  <c r="Q434" i="4"/>
  <c r="P434" i="4"/>
  <c r="O434" i="4"/>
  <c r="L434" i="4"/>
  <c r="R433" i="4"/>
  <c r="Q433" i="4"/>
  <c r="P433" i="4"/>
  <c r="O433" i="4"/>
  <c r="R432" i="4"/>
  <c r="Q432" i="4"/>
  <c r="P432" i="4"/>
  <c r="O432" i="4"/>
  <c r="L432" i="4"/>
  <c r="R431" i="4"/>
  <c r="Q431" i="4"/>
  <c r="P431" i="4"/>
  <c r="O431" i="4"/>
  <c r="R430" i="4"/>
  <c r="Q430" i="4"/>
  <c r="P430" i="4"/>
  <c r="O430" i="4"/>
  <c r="L430" i="4"/>
  <c r="R429" i="4"/>
  <c r="Q429" i="4"/>
  <c r="P429" i="4"/>
  <c r="O429" i="4"/>
  <c r="L429" i="4"/>
  <c r="R428" i="4"/>
  <c r="Q428" i="4"/>
  <c r="P428" i="4"/>
  <c r="O428" i="4"/>
  <c r="R427" i="4"/>
  <c r="Q427" i="4"/>
  <c r="P427" i="4"/>
  <c r="O427" i="4"/>
  <c r="R426" i="4"/>
  <c r="Q426" i="4"/>
  <c r="P426" i="4"/>
  <c r="O426" i="4"/>
  <c r="R425" i="4"/>
  <c r="Q425" i="4"/>
  <c r="P425" i="4"/>
  <c r="O425" i="4"/>
  <c r="R424" i="4"/>
  <c r="Q424" i="4"/>
  <c r="P424" i="4"/>
  <c r="O424" i="4"/>
  <c r="R423" i="4"/>
  <c r="Q423" i="4"/>
  <c r="P423" i="4"/>
  <c r="O423" i="4"/>
  <c r="R422" i="4"/>
  <c r="Q422" i="4"/>
  <c r="P422" i="4"/>
  <c r="O422" i="4"/>
  <c r="R421" i="4"/>
  <c r="Q421" i="4"/>
  <c r="P421" i="4"/>
  <c r="O421" i="4"/>
  <c r="R420" i="4"/>
  <c r="Q420" i="4"/>
  <c r="P420" i="4"/>
  <c r="O420" i="4"/>
  <c r="R419" i="4"/>
  <c r="Q419" i="4"/>
  <c r="P419" i="4"/>
  <c r="O419" i="4"/>
  <c r="R418" i="4"/>
  <c r="Q418" i="4"/>
  <c r="P418" i="4"/>
  <c r="O418" i="4"/>
  <c r="R417" i="4"/>
  <c r="Q417" i="4"/>
  <c r="P417" i="4"/>
  <c r="O417" i="4"/>
  <c r="R416" i="4"/>
  <c r="Q416" i="4"/>
  <c r="P416" i="4"/>
  <c r="O416" i="4"/>
  <c r="R415" i="4"/>
  <c r="Q415" i="4"/>
  <c r="P415" i="4"/>
  <c r="O415" i="4"/>
  <c r="R414" i="4"/>
  <c r="Q414" i="4"/>
  <c r="P414" i="4"/>
  <c r="O414" i="4"/>
  <c r="J414" i="4"/>
  <c r="R413" i="4"/>
  <c r="Q413" i="4"/>
  <c r="P413" i="4"/>
  <c r="O413" i="4"/>
  <c r="R412" i="4"/>
  <c r="Q412" i="4"/>
  <c r="P412" i="4"/>
  <c r="O412" i="4"/>
  <c r="L412" i="4"/>
  <c r="R411" i="4"/>
  <c r="Q411" i="4"/>
  <c r="P411" i="4"/>
  <c r="O411" i="4"/>
  <c r="R410" i="4"/>
  <c r="Q410" i="4"/>
  <c r="P410" i="4"/>
  <c r="O410" i="4"/>
  <c r="M410" i="4"/>
  <c r="R409" i="4"/>
  <c r="Q409" i="4"/>
  <c r="P409" i="4"/>
  <c r="O409" i="4"/>
  <c r="R408" i="4"/>
  <c r="Q408" i="4"/>
  <c r="P408" i="4"/>
  <c r="O408" i="4"/>
  <c r="R407" i="4"/>
  <c r="Q407" i="4"/>
  <c r="P407" i="4"/>
  <c r="O407" i="4"/>
  <c r="M407" i="4"/>
  <c r="R406" i="4"/>
  <c r="Q406" i="4"/>
  <c r="P406" i="4"/>
  <c r="O406" i="4"/>
  <c r="R405" i="4"/>
  <c r="Q405" i="4"/>
  <c r="P405" i="4"/>
  <c r="O405" i="4"/>
  <c r="R404" i="4"/>
  <c r="Q404" i="4"/>
  <c r="P404" i="4"/>
  <c r="O404" i="4"/>
  <c r="J404" i="4"/>
  <c r="R403" i="4"/>
  <c r="Q403" i="4"/>
  <c r="P403" i="4"/>
  <c r="O403" i="4"/>
  <c r="R402" i="4"/>
  <c r="Q402" i="4"/>
  <c r="P402" i="4"/>
  <c r="O402" i="4"/>
  <c r="R401" i="4"/>
  <c r="Q401" i="4"/>
  <c r="P401" i="4"/>
  <c r="O401" i="4"/>
  <c r="R400" i="4"/>
  <c r="Q400" i="4"/>
  <c r="P400" i="4"/>
  <c r="O400" i="4"/>
  <c r="L400" i="4"/>
  <c r="R399" i="4"/>
  <c r="Q399" i="4"/>
  <c r="P399" i="4"/>
  <c r="O399" i="4"/>
  <c r="R398" i="4"/>
  <c r="Q398" i="4"/>
  <c r="P398" i="4"/>
  <c r="O398" i="4"/>
  <c r="R397" i="4"/>
  <c r="Q397" i="4"/>
  <c r="P397" i="4"/>
  <c r="O397" i="4"/>
  <c r="L397" i="4"/>
  <c r="R396" i="4"/>
  <c r="Q396" i="4"/>
  <c r="P396" i="4"/>
  <c r="O396" i="4"/>
  <c r="R395" i="4"/>
  <c r="Q395" i="4"/>
  <c r="P395" i="4"/>
  <c r="O395" i="4"/>
  <c r="J395" i="4"/>
  <c r="R394" i="4"/>
  <c r="Q394" i="4"/>
  <c r="P394" i="4"/>
  <c r="O394" i="4"/>
  <c r="G393" i="4"/>
  <c r="F393" i="4"/>
  <c r="L393" i="4" s="1"/>
  <c r="E393" i="4"/>
  <c r="K393" i="4" s="1"/>
  <c r="D393" i="4"/>
  <c r="C393" i="4"/>
  <c r="R391" i="4"/>
  <c r="Q391" i="4"/>
  <c r="P391" i="4"/>
  <c r="O391" i="4"/>
  <c r="L391" i="4"/>
  <c r="R390" i="4"/>
  <c r="Q390" i="4"/>
  <c r="P390" i="4"/>
  <c r="O390" i="4"/>
  <c r="R389" i="4"/>
  <c r="Q389" i="4"/>
  <c r="P389" i="4"/>
  <c r="O389" i="4"/>
  <c r="M389" i="4"/>
  <c r="R388" i="4"/>
  <c r="Q388" i="4"/>
  <c r="P388" i="4"/>
  <c r="O388" i="4"/>
  <c r="M388" i="4"/>
  <c r="R387" i="4"/>
  <c r="Q387" i="4"/>
  <c r="P387" i="4"/>
  <c r="O387" i="4"/>
  <c r="R386" i="4"/>
  <c r="Q386" i="4"/>
  <c r="P386" i="4"/>
  <c r="O386" i="4"/>
  <c r="L386" i="4"/>
  <c r="R385" i="4"/>
  <c r="Q385" i="4"/>
  <c r="P385" i="4"/>
  <c r="O385" i="4"/>
  <c r="M385" i="4"/>
  <c r="R384" i="4"/>
  <c r="Q384" i="4"/>
  <c r="P384" i="4"/>
  <c r="O384" i="4"/>
  <c r="R383" i="4"/>
  <c r="Q383" i="4"/>
  <c r="P383" i="4"/>
  <c r="O383" i="4"/>
  <c r="L383" i="4"/>
  <c r="R382" i="4"/>
  <c r="Q382" i="4"/>
  <c r="P382" i="4"/>
  <c r="O382" i="4"/>
  <c r="R381" i="4"/>
  <c r="Q381" i="4"/>
  <c r="P381" i="4"/>
  <c r="O381" i="4"/>
  <c r="R380" i="4"/>
  <c r="Q380" i="4"/>
  <c r="P380" i="4"/>
  <c r="O380" i="4"/>
  <c r="M380" i="4"/>
  <c r="L380" i="4"/>
  <c r="R379" i="4"/>
  <c r="Q379" i="4"/>
  <c r="P379" i="4"/>
  <c r="O379" i="4"/>
  <c r="R378" i="4"/>
  <c r="Q378" i="4"/>
  <c r="P378" i="4"/>
  <c r="O378" i="4"/>
  <c r="R377" i="4"/>
  <c r="Q377" i="4"/>
  <c r="P377" i="4"/>
  <c r="O377" i="4"/>
  <c r="L377" i="4"/>
  <c r="R376" i="4"/>
  <c r="Q376" i="4"/>
  <c r="P376" i="4"/>
  <c r="O376" i="4"/>
  <c r="M376" i="4"/>
  <c r="R375" i="4"/>
  <c r="Q375" i="4"/>
  <c r="P375" i="4"/>
  <c r="O375" i="4"/>
  <c r="R374" i="4"/>
  <c r="Q374" i="4"/>
  <c r="P374" i="4"/>
  <c r="O374" i="4"/>
  <c r="R373" i="4"/>
  <c r="Q373" i="4"/>
  <c r="P373" i="4"/>
  <c r="O373" i="4"/>
  <c r="R372" i="4"/>
  <c r="Q372" i="4"/>
  <c r="P372" i="4"/>
  <c r="O372" i="4"/>
  <c r="R371" i="4"/>
  <c r="Q371" i="4"/>
  <c r="P371" i="4"/>
  <c r="O371" i="4"/>
  <c r="R370" i="4"/>
  <c r="Q370" i="4"/>
  <c r="P370" i="4"/>
  <c r="O370" i="4"/>
  <c r="R369" i="4"/>
  <c r="Q369" i="4"/>
  <c r="P369" i="4"/>
  <c r="O369" i="4"/>
  <c r="R368" i="4"/>
  <c r="Q368" i="4"/>
  <c r="P368" i="4"/>
  <c r="O368" i="4"/>
  <c r="L368" i="4"/>
  <c r="R367" i="4"/>
  <c r="Q367" i="4"/>
  <c r="P367" i="4"/>
  <c r="O367" i="4"/>
  <c r="M367" i="4"/>
  <c r="R366" i="4"/>
  <c r="Q366" i="4"/>
  <c r="P366" i="4"/>
  <c r="O366" i="4"/>
  <c r="J366" i="4"/>
  <c r="R365" i="4"/>
  <c r="Q365" i="4"/>
  <c r="P365" i="4"/>
  <c r="O365" i="4"/>
  <c r="R364" i="4"/>
  <c r="Q364" i="4"/>
  <c r="P364" i="4"/>
  <c r="O364" i="4"/>
  <c r="L364" i="4"/>
  <c r="I364" i="4"/>
  <c r="R363" i="4"/>
  <c r="Q363" i="4"/>
  <c r="P363" i="4"/>
  <c r="O363" i="4"/>
  <c r="R362" i="4"/>
  <c r="Q362" i="4"/>
  <c r="P362" i="4"/>
  <c r="O362" i="4"/>
  <c r="J362" i="4"/>
  <c r="R361" i="4"/>
  <c r="Q361" i="4"/>
  <c r="P361" i="4"/>
  <c r="O361" i="4"/>
  <c r="J361" i="4"/>
  <c r="R360" i="4"/>
  <c r="Q360" i="4"/>
  <c r="P360" i="4"/>
  <c r="O360" i="4"/>
  <c r="R359" i="4"/>
  <c r="Q359" i="4"/>
  <c r="P359" i="4"/>
  <c r="O359" i="4"/>
  <c r="L359" i="4"/>
  <c r="R358" i="4"/>
  <c r="Q358" i="4"/>
  <c r="P358" i="4"/>
  <c r="O358" i="4"/>
  <c r="R357" i="4"/>
  <c r="Q357" i="4"/>
  <c r="P357" i="4"/>
  <c r="O357" i="4"/>
  <c r="R356" i="4"/>
  <c r="Q356" i="4"/>
  <c r="P356" i="4"/>
  <c r="O356" i="4"/>
  <c r="R355" i="4"/>
  <c r="Q355" i="4"/>
  <c r="P355" i="4"/>
  <c r="O355" i="4"/>
  <c r="R354" i="4"/>
  <c r="Q354" i="4"/>
  <c r="P354" i="4"/>
  <c r="O354" i="4"/>
  <c r="L354" i="4"/>
  <c r="R353" i="4"/>
  <c r="Q353" i="4"/>
  <c r="P353" i="4"/>
  <c r="O353" i="4"/>
  <c r="R352" i="4"/>
  <c r="Q352" i="4"/>
  <c r="P352" i="4"/>
  <c r="O352" i="4"/>
  <c r="J352" i="4"/>
  <c r="R351" i="4"/>
  <c r="Q351" i="4"/>
  <c r="P351" i="4"/>
  <c r="O351" i="4"/>
  <c r="R350" i="4"/>
  <c r="Q350" i="4"/>
  <c r="P350" i="4"/>
  <c r="O350" i="4"/>
  <c r="R349" i="4"/>
  <c r="Q349" i="4"/>
  <c r="P349" i="4"/>
  <c r="O349" i="4"/>
  <c r="I349" i="4"/>
  <c r="R348" i="4"/>
  <c r="Q348" i="4"/>
  <c r="P348" i="4"/>
  <c r="O348" i="4"/>
  <c r="L348" i="4"/>
  <c r="R347" i="4"/>
  <c r="Q347" i="4"/>
  <c r="P347" i="4"/>
  <c r="O347" i="4"/>
  <c r="R346" i="4"/>
  <c r="Q346" i="4"/>
  <c r="P346" i="4"/>
  <c r="O346" i="4"/>
  <c r="M346" i="4"/>
  <c r="L346" i="4"/>
  <c r="R345" i="4"/>
  <c r="Q345" i="4"/>
  <c r="P345" i="4"/>
  <c r="O345" i="4"/>
  <c r="M345" i="4"/>
  <c r="R344" i="4"/>
  <c r="Q344" i="4"/>
  <c r="P344" i="4"/>
  <c r="O344" i="4"/>
  <c r="R343" i="4"/>
  <c r="Q343" i="4"/>
  <c r="P343" i="4"/>
  <c r="O343" i="4"/>
  <c r="G342" i="4"/>
  <c r="F342" i="4"/>
  <c r="L342" i="4" s="1"/>
  <c r="E342" i="4"/>
  <c r="D342" i="4"/>
  <c r="C342" i="4"/>
  <c r="R341" i="4"/>
  <c r="Q341" i="4"/>
  <c r="P341" i="4"/>
  <c r="O341" i="4"/>
  <c r="M341" i="4"/>
  <c r="L341" i="4"/>
  <c r="K341" i="4"/>
  <c r="J341" i="4"/>
  <c r="I341" i="4"/>
  <c r="G341" i="4"/>
  <c r="F341" i="4"/>
  <c r="E341" i="4"/>
  <c r="D341" i="4"/>
  <c r="C341" i="4"/>
  <c r="G338" i="4"/>
  <c r="F338" i="4"/>
  <c r="E338" i="4"/>
  <c r="D338" i="4"/>
  <c r="C338" i="4"/>
  <c r="G329" i="4"/>
  <c r="F329" i="4"/>
  <c r="E329" i="4"/>
  <c r="D329" i="4"/>
  <c r="C329" i="4"/>
  <c r="G326" i="4"/>
  <c r="F326" i="4"/>
  <c r="E326" i="4"/>
  <c r="D326" i="4"/>
  <c r="C326" i="4"/>
  <c r="G313" i="4"/>
  <c r="F313" i="4"/>
  <c r="E313" i="4"/>
  <c r="D313" i="4"/>
  <c r="C313" i="4"/>
  <c r="G310" i="4"/>
  <c r="F310" i="4"/>
  <c r="E310" i="4"/>
  <c r="D310" i="4"/>
  <c r="C310" i="4"/>
  <c r="G304" i="4"/>
  <c r="F304" i="4"/>
  <c r="E304" i="4"/>
  <c r="D304" i="4"/>
  <c r="C304" i="4"/>
  <c r="G301" i="4"/>
  <c r="F301" i="4"/>
  <c r="E301" i="4"/>
  <c r="D301" i="4"/>
  <c r="C301" i="4"/>
  <c r="G279" i="4"/>
  <c r="F279" i="4"/>
  <c r="E279" i="4"/>
  <c r="D279" i="4"/>
  <c r="C279" i="4"/>
  <c r="D276" i="4"/>
  <c r="C276" i="4"/>
  <c r="G273" i="4"/>
  <c r="G276" i="4" s="1"/>
  <c r="F273" i="4"/>
  <c r="F276" i="4" s="1"/>
  <c r="E273" i="4"/>
  <c r="E276" i="4" s="1"/>
  <c r="D273" i="4"/>
  <c r="C273" i="4"/>
  <c r="G270" i="4"/>
  <c r="F270" i="4"/>
  <c r="E270" i="4"/>
  <c r="D270" i="4"/>
  <c r="C270" i="4"/>
  <c r="G268" i="4"/>
  <c r="F268" i="4"/>
  <c r="E268" i="4"/>
  <c r="D268" i="4"/>
  <c r="C268" i="4"/>
  <c r="G253" i="4"/>
  <c r="F253" i="4"/>
  <c r="E253" i="4"/>
  <c r="D253" i="4"/>
  <c r="C253" i="4"/>
  <c r="G250" i="4"/>
  <c r="M396" i="4" s="1"/>
  <c r="F250" i="4"/>
  <c r="L481" i="4" s="1"/>
  <c r="E250" i="4"/>
  <c r="K435" i="4" s="1"/>
  <c r="D250" i="4"/>
  <c r="J424" i="4" s="1"/>
  <c r="C250" i="4"/>
  <c r="I480" i="4" s="1"/>
  <c r="G241" i="4"/>
  <c r="F241" i="4"/>
  <c r="E241" i="4"/>
  <c r="D241" i="4"/>
  <c r="C241" i="4"/>
  <c r="G238" i="4"/>
  <c r="F238" i="4"/>
  <c r="E238" i="4"/>
  <c r="D238" i="4"/>
  <c r="C238" i="4"/>
  <c r="G224" i="4"/>
  <c r="F224" i="4"/>
  <c r="E224" i="4"/>
  <c r="D224" i="4"/>
  <c r="C224" i="4"/>
  <c r="G221" i="4"/>
  <c r="F221" i="4"/>
  <c r="E221" i="4"/>
  <c r="D221" i="4"/>
  <c r="C221" i="4"/>
  <c r="G207" i="4"/>
  <c r="F207" i="4"/>
  <c r="E207" i="4"/>
  <c r="D207" i="4"/>
  <c r="C207" i="4"/>
  <c r="G204" i="4"/>
  <c r="F204" i="4"/>
  <c r="E204" i="4"/>
  <c r="D204" i="4"/>
  <c r="C204" i="4"/>
  <c r="G201" i="4"/>
  <c r="F201" i="4"/>
  <c r="E201" i="4"/>
  <c r="D201" i="4"/>
  <c r="C201" i="4"/>
  <c r="G198" i="4"/>
  <c r="F198" i="4"/>
  <c r="E198" i="4"/>
  <c r="D198" i="4"/>
  <c r="C198" i="4"/>
  <c r="G188" i="4"/>
  <c r="F188" i="4"/>
  <c r="E188" i="4"/>
  <c r="D188" i="4"/>
  <c r="C188" i="4"/>
  <c r="G185" i="4"/>
  <c r="F185" i="4"/>
  <c r="E185" i="4"/>
  <c r="D185" i="4"/>
  <c r="C185" i="4"/>
  <c r="G174" i="4"/>
  <c r="F174" i="4"/>
  <c r="E174" i="4"/>
  <c r="D174" i="4"/>
  <c r="C174" i="4"/>
  <c r="G171" i="4"/>
  <c r="F171" i="4"/>
  <c r="E171" i="4"/>
  <c r="D171" i="4"/>
  <c r="C171" i="4"/>
  <c r="G162" i="4"/>
  <c r="F162" i="4"/>
  <c r="E162" i="4"/>
  <c r="D162" i="4"/>
  <c r="C162" i="4"/>
  <c r="G154" i="4"/>
  <c r="F154" i="4"/>
  <c r="E154" i="4"/>
  <c r="D154" i="4"/>
  <c r="C154" i="4"/>
  <c r="G146" i="4"/>
  <c r="F146" i="4"/>
  <c r="E146" i="4"/>
  <c r="D146" i="4"/>
  <c r="C146" i="4"/>
  <c r="G143" i="4"/>
  <c r="F143" i="4"/>
  <c r="E143" i="4"/>
  <c r="D143" i="4"/>
  <c r="C143" i="4"/>
  <c r="G131" i="4"/>
  <c r="F131" i="4"/>
  <c r="E131" i="4"/>
  <c r="D131" i="4"/>
  <c r="C131" i="4"/>
  <c r="G128" i="4"/>
  <c r="F128" i="4"/>
  <c r="E128" i="4"/>
  <c r="D128" i="4"/>
  <c r="C128" i="4"/>
  <c r="G106" i="4"/>
  <c r="F106" i="4"/>
  <c r="E106" i="4"/>
  <c r="D106" i="4"/>
  <c r="C106" i="4"/>
  <c r="G103" i="4"/>
  <c r="F103" i="4"/>
  <c r="E103" i="4"/>
  <c r="D103" i="4"/>
  <c r="C103" i="4"/>
  <c r="G85" i="4"/>
  <c r="F85" i="4"/>
  <c r="E85" i="4"/>
  <c r="D85" i="4"/>
  <c r="C85" i="4"/>
  <c r="G82" i="4"/>
  <c r="F82" i="4"/>
  <c r="E82" i="4"/>
  <c r="D82" i="4"/>
  <c r="C82" i="4"/>
  <c r="G72" i="4"/>
  <c r="F72" i="4"/>
  <c r="E72" i="4"/>
  <c r="D72" i="4"/>
  <c r="C72" i="4"/>
  <c r="G69" i="4"/>
  <c r="F69" i="4"/>
  <c r="E69" i="4"/>
  <c r="D69" i="4"/>
  <c r="C69" i="4"/>
  <c r="G58" i="4"/>
  <c r="F58" i="4"/>
  <c r="E58" i="4"/>
  <c r="D58" i="4"/>
  <c r="C58" i="4"/>
  <c r="G55" i="4"/>
  <c r="F55" i="4"/>
  <c r="E55" i="4"/>
  <c r="D55" i="4"/>
  <c r="C55" i="4"/>
  <c r="G46" i="4"/>
  <c r="F46" i="4"/>
  <c r="E46" i="4"/>
  <c r="D46" i="4"/>
  <c r="C46" i="4"/>
  <c r="G43" i="4"/>
  <c r="F43" i="4"/>
  <c r="E43" i="4"/>
  <c r="D43" i="4"/>
  <c r="C43" i="4"/>
  <c r="G34" i="4"/>
  <c r="F34" i="4"/>
  <c r="E34" i="4"/>
  <c r="D34" i="4"/>
  <c r="C34" i="4"/>
  <c r="G31" i="4"/>
  <c r="F31" i="4"/>
  <c r="E31" i="4"/>
  <c r="D31" i="4"/>
  <c r="C31" i="4"/>
  <c r="G25" i="4"/>
  <c r="F25" i="4"/>
  <c r="E25" i="4"/>
  <c r="D25" i="4"/>
  <c r="C25" i="4"/>
  <c r="G13" i="4"/>
  <c r="F13" i="4"/>
  <c r="E13" i="4"/>
  <c r="D13" i="4"/>
  <c r="C13" i="4"/>
  <c r="G11" i="4"/>
  <c r="F11" i="4"/>
  <c r="E11" i="4"/>
  <c r="D11" i="4"/>
  <c r="C11" i="4"/>
  <c r="B4" i="4"/>
  <c r="B2" i="4"/>
  <c r="F5" i="3"/>
  <c r="E5" i="3"/>
  <c r="D5" i="3"/>
  <c r="C5" i="3"/>
  <c r="B4" i="3"/>
  <c r="B2" i="3"/>
  <c r="B4" i="2"/>
  <c r="B2" i="2"/>
  <c r="P5" i="1"/>
  <c r="L5" i="1"/>
  <c r="K5" i="1"/>
  <c r="O5" i="1" s="1"/>
  <c r="J5" i="1"/>
  <c r="N5" i="1" s="1"/>
  <c r="I5" i="1"/>
  <c r="M5" i="1" s="1"/>
  <c r="H5" i="1"/>
  <c r="AI4" i="1" a="1"/>
  <c r="AI4" i="1" s="1"/>
  <c r="H14" i="5"/>
  <c r="H3" i="5"/>
  <c r="G3" i="5"/>
  <c r="G14" i="5" s="1"/>
  <c r="F3" i="5"/>
  <c r="F14" i="5" s="1"/>
  <c r="E3" i="5"/>
  <c r="E14" i="5" s="1"/>
  <c r="D3" i="5"/>
  <c r="D14" i="5" s="1"/>
  <c r="I367" i="4" l="1"/>
  <c r="R393" i="4"/>
  <c r="Q342" i="4"/>
  <c r="L361" i="4"/>
  <c r="J367" i="4"/>
  <c r="I376" i="4"/>
  <c r="M379" i="4"/>
  <c r="L382" i="4"/>
  <c r="J385" i="4"/>
  <c r="L402" i="4"/>
  <c r="M409" i="4"/>
  <c r="J427" i="4"/>
  <c r="I446" i="4"/>
  <c r="Q452" i="4"/>
  <c r="L476" i="4"/>
  <c r="L471" i="4"/>
  <c r="P393" i="4"/>
  <c r="C485" i="4"/>
  <c r="L360" i="4"/>
  <c r="L366" i="4"/>
  <c r="J384" i="4"/>
  <c r="L394" i="4"/>
  <c r="L406" i="4"/>
  <c r="L411" i="4"/>
  <c r="I416" i="4"/>
  <c r="M441" i="4"/>
  <c r="L455" i="4"/>
  <c r="L460" i="4"/>
  <c r="I350" i="4"/>
  <c r="M355" i="4"/>
  <c r="J375" i="4"/>
  <c r="L378" i="4"/>
  <c r="L381" i="4"/>
  <c r="L384" i="4"/>
  <c r="L401" i="4"/>
  <c r="L420" i="4"/>
  <c r="J436" i="4"/>
  <c r="L443" i="4"/>
  <c r="L473" i="4"/>
  <c r="I484" i="4"/>
  <c r="L347" i="4"/>
  <c r="L350" i="4"/>
  <c r="M357" i="4"/>
  <c r="L365" i="4"/>
  <c r="I389" i="4"/>
  <c r="J413" i="4"/>
  <c r="L433" i="4"/>
  <c r="L438" i="4"/>
  <c r="L457" i="4"/>
  <c r="I466" i="4"/>
  <c r="L477" i="4"/>
  <c r="I479" i="4"/>
  <c r="L461" i="4"/>
  <c r="F30" i="2"/>
  <c r="E19" i="3" s="1"/>
  <c r="C29" i="2"/>
  <c r="G24" i="2"/>
  <c r="D23" i="2"/>
  <c r="F21" i="2"/>
  <c r="C19" i="2"/>
  <c r="C31" i="3" s="1"/>
  <c r="E17" i="2"/>
  <c r="F11" i="2"/>
  <c r="E8" i="2"/>
  <c r="F20" i="1"/>
  <c r="D15" i="1"/>
  <c r="F12" i="1"/>
  <c r="D11" i="1"/>
  <c r="E30" i="2"/>
  <c r="G28" i="2"/>
  <c r="F24" i="2"/>
  <c r="C23" i="2"/>
  <c r="E21" i="2"/>
  <c r="D17" i="2"/>
  <c r="E11" i="2"/>
  <c r="D8" i="2"/>
  <c r="G21" i="1"/>
  <c r="E20" i="1"/>
  <c r="G17" i="1"/>
  <c r="C15" i="1"/>
  <c r="E12" i="1"/>
  <c r="C11" i="1"/>
  <c r="G6" i="1"/>
  <c r="C31" i="2"/>
  <c r="F28" i="2"/>
  <c r="F25" i="2"/>
  <c r="F23" i="2"/>
  <c r="D21" i="2"/>
  <c r="D16" i="2"/>
  <c r="G12" i="2"/>
  <c r="G8" i="2"/>
  <c r="D10" i="1"/>
  <c r="F6" i="1"/>
  <c r="G30" i="2"/>
  <c r="E28" i="2"/>
  <c r="E25" i="2"/>
  <c r="E12" i="3" s="1"/>
  <c r="E23" i="2"/>
  <c r="C21" i="2"/>
  <c r="C16" i="2"/>
  <c r="F12" i="2"/>
  <c r="F8" i="2"/>
  <c r="G18" i="1"/>
  <c r="G15" i="1"/>
  <c r="G12" i="1"/>
  <c r="C10" i="1"/>
  <c r="E6" i="1"/>
  <c r="D30" i="2"/>
  <c r="D28" i="2"/>
  <c r="D25" i="2"/>
  <c r="D12" i="3" s="1"/>
  <c r="D19" i="2"/>
  <c r="D6" i="1"/>
  <c r="D14" i="1"/>
  <c r="D17" i="1"/>
  <c r="D18" i="1"/>
  <c r="D20" i="1"/>
  <c r="E12" i="2"/>
  <c r="F16" i="2"/>
  <c r="E19" i="2"/>
  <c r="G22" i="2"/>
  <c r="D31" i="2"/>
  <c r="E10" i="1"/>
  <c r="E11" i="1"/>
  <c r="C12" i="1"/>
  <c r="E14" i="1"/>
  <c r="E15" i="1"/>
  <c r="E17" i="1"/>
  <c r="E18" i="1"/>
  <c r="G20" i="1"/>
  <c r="E21" i="1"/>
  <c r="G16" i="2"/>
  <c r="F19" i="2"/>
  <c r="G23" i="2"/>
  <c r="E31" i="2"/>
  <c r="D18" i="3" s="1"/>
  <c r="G29" i="2"/>
  <c r="C6" i="1"/>
  <c r="C17" i="1"/>
  <c r="C21" i="1"/>
  <c r="D12" i="2"/>
  <c r="C28" i="3" s="1"/>
  <c r="C30" i="2"/>
  <c r="F10" i="1"/>
  <c r="F15" i="1"/>
  <c r="F18" i="1"/>
  <c r="F21" i="1"/>
  <c r="C17" i="2"/>
  <c r="C15" i="3" s="1"/>
  <c r="G19" i="2"/>
  <c r="F34" i="3" s="1"/>
  <c r="C24" i="2"/>
  <c r="C28" i="2"/>
  <c r="F31" i="2"/>
  <c r="E18" i="3" s="1"/>
  <c r="G10" i="1"/>
  <c r="G11" i="1"/>
  <c r="G14" i="1"/>
  <c r="C11" i="2"/>
  <c r="C13" i="2" s="1"/>
  <c r="F17" i="2"/>
  <c r="G21" i="2"/>
  <c r="D24" i="2"/>
  <c r="D29" i="2"/>
  <c r="G31" i="2"/>
  <c r="E22" i="2"/>
  <c r="D12" i="1"/>
  <c r="F14" i="1"/>
  <c r="C8" i="2"/>
  <c r="D11" i="2"/>
  <c r="G17" i="2"/>
  <c r="C22" i="2"/>
  <c r="E24" i="2"/>
  <c r="E29" i="2"/>
  <c r="C12" i="2"/>
  <c r="G25" i="2"/>
  <c r="C14" i="1"/>
  <c r="C18" i="1"/>
  <c r="C20" i="1"/>
  <c r="E16" i="2"/>
  <c r="F22" i="2"/>
  <c r="D21" i="1"/>
  <c r="F11" i="1"/>
  <c r="F17" i="1"/>
  <c r="G11" i="2"/>
  <c r="E23" i="3"/>
  <c r="D22" i="2"/>
  <c r="C25" i="2"/>
  <c r="C12" i="3" s="1"/>
  <c r="F29" i="2"/>
  <c r="G485" i="4"/>
  <c r="M342" i="4"/>
  <c r="K399" i="4"/>
  <c r="K418" i="4"/>
  <c r="K430" i="4"/>
  <c r="I447" i="4"/>
  <c r="I467" i="4"/>
  <c r="K475" i="4"/>
  <c r="I481" i="4"/>
  <c r="I473" i="4"/>
  <c r="I465" i="4"/>
  <c r="I457" i="4"/>
  <c r="I478" i="4"/>
  <c r="I470" i="4"/>
  <c r="I462" i="4"/>
  <c r="I454" i="4"/>
  <c r="I450" i="4"/>
  <c r="I442" i="4"/>
  <c r="I434" i="4"/>
  <c r="I426" i="4"/>
  <c r="I418" i="4"/>
  <c r="I410" i="4"/>
  <c r="I402" i="4"/>
  <c r="I394" i="4"/>
  <c r="I390" i="4"/>
  <c r="I382" i="4"/>
  <c r="I374" i="4"/>
  <c r="I366" i="4"/>
  <c r="I358" i="4"/>
  <c r="I482" i="4"/>
  <c r="I436" i="4"/>
  <c r="I413" i="4"/>
  <c r="I395" i="4"/>
  <c r="I384" i="4"/>
  <c r="I361" i="4"/>
  <c r="I348" i="4"/>
  <c r="I483" i="4"/>
  <c r="I461" i="4"/>
  <c r="I460" i="4"/>
  <c r="I459" i="4"/>
  <c r="I458" i="4"/>
  <c r="I456" i="4"/>
  <c r="I455" i="4"/>
  <c r="I435" i="4"/>
  <c r="I433" i="4"/>
  <c r="I432" i="4"/>
  <c r="I431" i="4"/>
  <c r="I430" i="4"/>
  <c r="I412" i="4"/>
  <c r="I383" i="4"/>
  <c r="I381" i="4"/>
  <c r="I380" i="4"/>
  <c r="I379" i="4"/>
  <c r="I378" i="4"/>
  <c r="I360" i="4"/>
  <c r="I347" i="4"/>
  <c r="I429" i="4"/>
  <c r="I411" i="4"/>
  <c r="I409" i="4"/>
  <c r="I408" i="4"/>
  <c r="I407" i="4"/>
  <c r="I406" i="4"/>
  <c r="I377" i="4"/>
  <c r="I359" i="4"/>
  <c r="I357" i="4"/>
  <c r="I356" i="4"/>
  <c r="I355" i="4"/>
  <c r="I354" i="4"/>
  <c r="I346" i="4"/>
  <c r="I445" i="4"/>
  <c r="I427" i="4"/>
  <c r="I425" i="4"/>
  <c r="I424" i="4"/>
  <c r="I423" i="4"/>
  <c r="I422" i="4"/>
  <c r="I404" i="4"/>
  <c r="I375" i="4"/>
  <c r="I373" i="4"/>
  <c r="I372" i="4"/>
  <c r="I371" i="4"/>
  <c r="I370" i="4"/>
  <c r="I352" i="4"/>
  <c r="I344" i="4"/>
  <c r="I477" i="4"/>
  <c r="I476" i="4"/>
  <c r="I475" i="4"/>
  <c r="I474" i="4"/>
  <c r="I472" i="4"/>
  <c r="I471" i="4"/>
  <c r="I444" i="4"/>
  <c r="I421" i="4"/>
  <c r="I403" i="4"/>
  <c r="I401" i="4"/>
  <c r="I400" i="4"/>
  <c r="I399" i="4"/>
  <c r="I398" i="4"/>
  <c r="I369" i="4"/>
  <c r="I443" i="4"/>
  <c r="I441" i="4"/>
  <c r="I440" i="4"/>
  <c r="I439" i="4"/>
  <c r="I438" i="4"/>
  <c r="I342" i="4"/>
  <c r="I345" i="4"/>
  <c r="K361" i="4"/>
  <c r="K373" i="4"/>
  <c r="K384" i="4"/>
  <c r="K395" i="4"/>
  <c r="I417" i="4"/>
  <c r="K444" i="4"/>
  <c r="M452" i="4"/>
  <c r="K459" i="4"/>
  <c r="I464" i="4"/>
  <c r="J480" i="4"/>
  <c r="J472" i="4"/>
  <c r="J464" i="4"/>
  <c r="J456" i="4"/>
  <c r="J477" i="4"/>
  <c r="J469" i="4"/>
  <c r="J461" i="4"/>
  <c r="J453" i="4"/>
  <c r="J449" i="4"/>
  <c r="J441" i="4"/>
  <c r="J433" i="4"/>
  <c r="J425" i="4"/>
  <c r="J417" i="4"/>
  <c r="J409" i="4"/>
  <c r="J401" i="4"/>
  <c r="J389" i="4"/>
  <c r="J381" i="4"/>
  <c r="J373" i="4"/>
  <c r="J365" i="4"/>
  <c r="J357" i="4"/>
  <c r="J484" i="4"/>
  <c r="J483" i="4"/>
  <c r="J460" i="4"/>
  <c r="J459" i="4"/>
  <c r="J458" i="4"/>
  <c r="J455" i="4"/>
  <c r="J454" i="4"/>
  <c r="J435" i="4"/>
  <c r="J432" i="4"/>
  <c r="J431" i="4"/>
  <c r="J430" i="4"/>
  <c r="J412" i="4"/>
  <c r="J394" i="4"/>
  <c r="J383" i="4"/>
  <c r="J380" i="4"/>
  <c r="J379" i="4"/>
  <c r="J378" i="4"/>
  <c r="J360" i="4"/>
  <c r="J347" i="4"/>
  <c r="J457" i="4"/>
  <c r="J434" i="4"/>
  <c r="J429" i="4"/>
  <c r="J411" i="4"/>
  <c r="J408" i="4"/>
  <c r="J407" i="4"/>
  <c r="J406" i="4"/>
  <c r="J382" i="4"/>
  <c r="J377" i="4"/>
  <c r="J359" i="4"/>
  <c r="J356" i="4"/>
  <c r="J355" i="4"/>
  <c r="J354" i="4"/>
  <c r="J346" i="4"/>
  <c r="J468" i="4"/>
  <c r="J467" i="4"/>
  <c r="J466" i="4"/>
  <c r="J463" i="4"/>
  <c r="J462" i="4"/>
  <c r="J448" i="4"/>
  <c r="J447" i="4"/>
  <c r="J446" i="4"/>
  <c r="J428" i="4"/>
  <c r="J410" i="4"/>
  <c r="J405" i="4"/>
  <c r="J376" i="4"/>
  <c r="J358" i="4"/>
  <c r="J353" i="4"/>
  <c r="J345" i="4"/>
  <c r="J476" i="4"/>
  <c r="J475" i="4"/>
  <c r="J474" i="4"/>
  <c r="J471" i="4"/>
  <c r="J470" i="4"/>
  <c r="J444" i="4"/>
  <c r="J426" i="4"/>
  <c r="J421" i="4"/>
  <c r="J403" i="4"/>
  <c r="J400" i="4"/>
  <c r="J399" i="4"/>
  <c r="J398" i="4"/>
  <c r="J374" i="4"/>
  <c r="J369" i="4"/>
  <c r="J351" i="4"/>
  <c r="J343" i="4"/>
  <c r="J473" i="4"/>
  <c r="J452" i="4"/>
  <c r="J443" i="4"/>
  <c r="J440" i="4"/>
  <c r="J439" i="4"/>
  <c r="J438" i="4"/>
  <c r="J420" i="4"/>
  <c r="J402" i="4"/>
  <c r="J397" i="4"/>
  <c r="J391" i="4"/>
  <c r="J388" i="4"/>
  <c r="J387" i="4"/>
  <c r="J386" i="4"/>
  <c r="J368" i="4"/>
  <c r="J479" i="4"/>
  <c r="J478" i="4"/>
  <c r="J442" i="4"/>
  <c r="J437" i="4"/>
  <c r="J342" i="4"/>
  <c r="I351" i="4"/>
  <c r="K360" i="4"/>
  <c r="I365" i="4"/>
  <c r="K366" i="4"/>
  <c r="J370" i="4"/>
  <c r="K379" i="4"/>
  <c r="K383" i="4"/>
  <c r="I388" i="4"/>
  <c r="I393" i="4"/>
  <c r="K394" i="4"/>
  <c r="K413" i="4"/>
  <c r="K417" i="4"/>
  <c r="K421" i="4"/>
  <c r="I449" i="4"/>
  <c r="I453" i="4"/>
  <c r="I469" i="4"/>
  <c r="J482" i="4"/>
  <c r="K479" i="4"/>
  <c r="K471" i="4"/>
  <c r="K463" i="4"/>
  <c r="K455" i="4"/>
  <c r="K484" i="4"/>
  <c r="K476" i="4"/>
  <c r="K468" i="4"/>
  <c r="K460" i="4"/>
  <c r="K448" i="4"/>
  <c r="K440" i="4"/>
  <c r="K432" i="4"/>
  <c r="K424" i="4"/>
  <c r="K416" i="4"/>
  <c r="K408" i="4"/>
  <c r="K400" i="4"/>
  <c r="K388" i="4"/>
  <c r="K380" i="4"/>
  <c r="K372" i="4"/>
  <c r="K364" i="4"/>
  <c r="K356" i="4"/>
  <c r="K483" i="4"/>
  <c r="K461" i="4"/>
  <c r="K457" i="4"/>
  <c r="K456" i="4"/>
  <c r="K434" i="4"/>
  <c r="K433" i="4"/>
  <c r="K429" i="4"/>
  <c r="K411" i="4"/>
  <c r="K407" i="4"/>
  <c r="K406" i="4"/>
  <c r="K382" i="4"/>
  <c r="K381" i="4"/>
  <c r="K377" i="4"/>
  <c r="K359" i="4"/>
  <c r="K355" i="4"/>
  <c r="K354" i="4"/>
  <c r="K346" i="4"/>
  <c r="K467" i="4"/>
  <c r="K466" i="4"/>
  <c r="K462" i="4"/>
  <c r="K447" i="4"/>
  <c r="K446" i="4"/>
  <c r="K428" i="4"/>
  <c r="K410" i="4"/>
  <c r="K409" i="4"/>
  <c r="K405" i="4"/>
  <c r="K376" i="4"/>
  <c r="K358" i="4"/>
  <c r="K357" i="4"/>
  <c r="K353" i="4"/>
  <c r="K345" i="4"/>
  <c r="K469" i="4"/>
  <c r="K465" i="4"/>
  <c r="K464" i="4"/>
  <c r="K450" i="4"/>
  <c r="K449" i="4"/>
  <c r="K445" i="4"/>
  <c r="K427" i="4"/>
  <c r="K423" i="4"/>
  <c r="K422" i="4"/>
  <c r="K404" i="4"/>
  <c r="K375" i="4"/>
  <c r="K371" i="4"/>
  <c r="K370" i="4"/>
  <c r="K352" i="4"/>
  <c r="K344" i="4"/>
  <c r="K477" i="4"/>
  <c r="K473" i="4"/>
  <c r="K472" i="4"/>
  <c r="K443" i="4"/>
  <c r="K439" i="4"/>
  <c r="K438" i="4"/>
  <c r="K420" i="4"/>
  <c r="K402" i="4"/>
  <c r="K401" i="4"/>
  <c r="K397" i="4"/>
  <c r="K391" i="4"/>
  <c r="K387" i="4"/>
  <c r="K386" i="4"/>
  <c r="K368" i="4"/>
  <c r="K350" i="4"/>
  <c r="K342" i="4"/>
  <c r="K478" i="4"/>
  <c r="K442" i="4"/>
  <c r="K441" i="4"/>
  <c r="K437" i="4"/>
  <c r="K419" i="4"/>
  <c r="K415" i="4"/>
  <c r="K414" i="4"/>
  <c r="K396" i="4"/>
  <c r="K390" i="4"/>
  <c r="K389" i="4"/>
  <c r="K385" i="4"/>
  <c r="K367" i="4"/>
  <c r="K363" i="4"/>
  <c r="K362" i="4"/>
  <c r="K482" i="4"/>
  <c r="K481" i="4"/>
  <c r="K480" i="4"/>
  <c r="K453" i="4"/>
  <c r="K436" i="4"/>
  <c r="K351" i="4"/>
  <c r="K365" i="4"/>
  <c r="K398" i="4"/>
  <c r="K412" i="4"/>
  <c r="K426" i="4"/>
  <c r="K458" i="4"/>
  <c r="K474" i="4"/>
  <c r="I485" i="4"/>
  <c r="J344" i="4"/>
  <c r="J348" i="4"/>
  <c r="J349" i="4"/>
  <c r="J350" i="4"/>
  <c r="J364" i="4"/>
  <c r="J372" i="4"/>
  <c r="K378" i="4"/>
  <c r="I387" i="4"/>
  <c r="I391" i="4"/>
  <c r="K403" i="4"/>
  <c r="J416" i="4"/>
  <c r="I420" i="4"/>
  <c r="J423" i="4"/>
  <c r="I452" i="4"/>
  <c r="I463" i="4"/>
  <c r="M477" i="4"/>
  <c r="M469" i="4"/>
  <c r="M461" i="4"/>
  <c r="M453" i="4"/>
  <c r="M484" i="4"/>
  <c r="M483" i="4"/>
  <c r="M482" i="4"/>
  <c r="M474" i="4"/>
  <c r="M466" i="4"/>
  <c r="M458" i="4"/>
  <c r="M446" i="4"/>
  <c r="M438" i="4"/>
  <c r="M430" i="4"/>
  <c r="M422" i="4"/>
  <c r="M414" i="4"/>
  <c r="M406" i="4"/>
  <c r="M398" i="4"/>
  <c r="M386" i="4"/>
  <c r="M378" i="4"/>
  <c r="M370" i="4"/>
  <c r="M362" i="4"/>
  <c r="M354" i="4"/>
  <c r="M481" i="4"/>
  <c r="M468" i="4"/>
  <c r="M467" i="4"/>
  <c r="M465" i="4"/>
  <c r="M464" i="4"/>
  <c r="M463" i="4"/>
  <c r="M462" i="4"/>
  <c r="M450" i="4"/>
  <c r="M449" i="4"/>
  <c r="M448" i="4"/>
  <c r="M447" i="4"/>
  <c r="M445" i="4"/>
  <c r="M427" i="4"/>
  <c r="M404" i="4"/>
  <c r="M375" i="4"/>
  <c r="M352" i="4"/>
  <c r="M344" i="4"/>
  <c r="M444" i="4"/>
  <c r="M426" i="4"/>
  <c r="M425" i="4"/>
  <c r="M424" i="4"/>
  <c r="M423" i="4"/>
  <c r="M421" i="4"/>
  <c r="M403" i="4"/>
  <c r="M374" i="4"/>
  <c r="M373" i="4"/>
  <c r="M372" i="4"/>
  <c r="M371" i="4"/>
  <c r="M369" i="4"/>
  <c r="M351" i="4"/>
  <c r="M343" i="4"/>
  <c r="M476" i="4"/>
  <c r="M475" i="4"/>
  <c r="M473" i="4"/>
  <c r="M472" i="4"/>
  <c r="M471" i="4"/>
  <c r="M470" i="4"/>
  <c r="M443" i="4"/>
  <c r="M420" i="4"/>
  <c r="M402" i="4"/>
  <c r="M401" i="4"/>
  <c r="M400" i="4"/>
  <c r="M399" i="4"/>
  <c r="M397" i="4"/>
  <c r="M391" i="4"/>
  <c r="M368" i="4"/>
  <c r="M350" i="4"/>
  <c r="M480" i="4"/>
  <c r="M479" i="4"/>
  <c r="M478" i="4"/>
  <c r="M436" i="4"/>
  <c r="M418" i="4"/>
  <c r="M417" i="4"/>
  <c r="M416" i="4"/>
  <c r="M415" i="4"/>
  <c r="M413" i="4"/>
  <c r="M395" i="4"/>
  <c r="M384" i="4"/>
  <c r="M366" i="4"/>
  <c r="M365" i="4"/>
  <c r="M364" i="4"/>
  <c r="M363" i="4"/>
  <c r="M361" i="4"/>
  <c r="M348" i="4"/>
  <c r="M435" i="4"/>
  <c r="M412" i="4"/>
  <c r="M394" i="4"/>
  <c r="M393" i="4"/>
  <c r="M383" i="4"/>
  <c r="M360" i="4"/>
  <c r="M460" i="4"/>
  <c r="M459" i="4"/>
  <c r="M457" i="4"/>
  <c r="M456" i="4"/>
  <c r="M455" i="4"/>
  <c r="M454" i="4"/>
  <c r="M434" i="4"/>
  <c r="M433" i="4"/>
  <c r="M432" i="4"/>
  <c r="M431" i="4"/>
  <c r="M429" i="4"/>
  <c r="R342" i="4"/>
  <c r="K347" i="4"/>
  <c r="K348" i="4"/>
  <c r="K349" i="4"/>
  <c r="I353" i="4"/>
  <c r="M356" i="4"/>
  <c r="M359" i="4"/>
  <c r="I363" i="4"/>
  <c r="K369" i="4"/>
  <c r="M382" i="4"/>
  <c r="M387" i="4"/>
  <c r="Q393" i="4"/>
  <c r="I397" i="4"/>
  <c r="I415" i="4"/>
  <c r="I419" i="4"/>
  <c r="I428" i="4"/>
  <c r="I437" i="4"/>
  <c r="M440" i="4"/>
  <c r="I448" i="4"/>
  <c r="I468" i="4"/>
  <c r="J481" i="4"/>
  <c r="I343" i="4"/>
  <c r="M349" i="4"/>
  <c r="M353" i="4"/>
  <c r="J363" i="4"/>
  <c r="K374" i="4"/>
  <c r="I386" i="4"/>
  <c r="J390" i="4"/>
  <c r="I396" i="4"/>
  <c r="I405" i="4"/>
  <c r="M408" i="4"/>
  <c r="M411" i="4"/>
  <c r="J415" i="4"/>
  <c r="J419" i="4"/>
  <c r="K425" i="4"/>
  <c r="M428" i="4"/>
  <c r="K431" i="4"/>
  <c r="M437" i="4"/>
  <c r="J445" i="4"/>
  <c r="J465" i="4"/>
  <c r="K343" i="4"/>
  <c r="M347" i="4"/>
  <c r="M358" i="4"/>
  <c r="I362" i="4"/>
  <c r="I368" i="4"/>
  <c r="J371" i="4"/>
  <c r="M377" i="4"/>
  <c r="M381" i="4"/>
  <c r="I385" i="4"/>
  <c r="M390" i="4"/>
  <c r="J396" i="4"/>
  <c r="M405" i="4"/>
  <c r="I414" i="4"/>
  <c r="J418" i="4"/>
  <c r="M419" i="4"/>
  <c r="J422" i="4"/>
  <c r="M442" i="4"/>
  <c r="J450" i="4"/>
  <c r="K454" i="4"/>
  <c r="K470" i="4"/>
  <c r="L395" i="4"/>
  <c r="L413" i="4"/>
  <c r="L416" i="4"/>
  <c r="L417" i="4"/>
  <c r="L418" i="4"/>
  <c r="L436" i="4"/>
  <c r="L453" i="4"/>
  <c r="L479" i="4"/>
  <c r="L480" i="4"/>
  <c r="L478" i="4"/>
  <c r="L470" i="4"/>
  <c r="L462" i="4"/>
  <c r="L454" i="4"/>
  <c r="L484" i="4"/>
  <c r="L483" i="4"/>
  <c r="L475" i="4"/>
  <c r="L467" i="4"/>
  <c r="L459" i="4"/>
  <c r="L447" i="4"/>
  <c r="L439" i="4"/>
  <c r="L431" i="4"/>
  <c r="L423" i="4"/>
  <c r="L415" i="4"/>
  <c r="L407" i="4"/>
  <c r="L399" i="4"/>
  <c r="L387" i="4"/>
  <c r="L379" i="4"/>
  <c r="L371" i="4"/>
  <c r="L363" i="4"/>
  <c r="L355" i="4"/>
  <c r="L482" i="4"/>
  <c r="L349" i="4"/>
  <c r="L362" i="4"/>
  <c r="L367" i="4"/>
  <c r="L385" i="4"/>
  <c r="L388" i="4"/>
  <c r="L389" i="4"/>
  <c r="L390" i="4"/>
  <c r="J393" i="4"/>
  <c r="O393" i="4"/>
  <c r="L396" i="4"/>
  <c r="L414" i="4"/>
  <c r="L419" i="4"/>
  <c r="L437" i="4"/>
  <c r="L440" i="4"/>
  <c r="L441" i="4"/>
  <c r="L442" i="4"/>
  <c r="L452" i="4"/>
  <c r="D485" i="4"/>
  <c r="L343" i="4"/>
  <c r="L351" i="4"/>
  <c r="L369" i="4"/>
  <c r="L372" i="4"/>
  <c r="L373" i="4"/>
  <c r="L374" i="4"/>
  <c r="L398" i="4"/>
  <c r="L403" i="4"/>
  <c r="L421" i="4"/>
  <c r="L424" i="4"/>
  <c r="L425" i="4"/>
  <c r="L426" i="4"/>
  <c r="L444" i="4"/>
  <c r="O452" i="4"/>
  <c r="P452" i="4"/>
  <c r="L474" i="4"/>
  <c r="E485" i="4"/>
  <c r="O342" i="4"/>
  <c r="L344" i="4"/>
  <c r="L352" i="4"/>
  <c r="L370" i="4"/>
  <c r="L375" i="4"/>
  <c r="L404" i="4"/>
  <c r="L422" i="4"/>
  <c r="L427" i="4"/>
  <c r="L445" i="4"/>
  <c r="L448" i="4"/>
  <c r="L449" i="4"/>
  <c r="L450" i="4"/>
  <c r="K452" i="4"/>
  <c r="L463" i="4"/>
  <c r="L464" i="4"/>
  <c r="L465" i="4"/>
  <c r="L468" i="4"/>
  <c r="L469" i="4"/>
  <c r="F485" i="4"/>
  <c r="P342" i="4"/>
  <c r="L345" i="4"/>
  <c r="L353" i="4"/>
  <c r="L356" i="4"/>
  <c r="L357" i="4"/>
  <c r="L358" i="4"/>
  <c r="L376" i="4"/>
  <c r="L405" i="4"/>
  <c r="L408" i="4"/>
  <c r="L409" i="4"/>
  <c r="L410" i="4"/>
  <c r="L428" i="4"/>
  <c r="L446" i="4"/>
  <c r="L466" i="4"/>
  <c r="E11" i="3" l="1"/>
  <c r="F23" i="3"/>
  <c r="C11" i="3"/>
  <c r="C19" i="3"/>
  <c r="E15" i="3"/>
  <c r="F15" i="3"/>
  <c r="C23" i="3"/>
  <c r="F28" i="3"/>
  <c r="F31" i="3"/>
  <c r="E34" i="3"/>
  <c r="M20" i="1"/>
  <c r="M10" i="1"/>
  <c r="D9" i="1"/>
  <c r="E16" i="3"/>
  <c r="F32" i="2"/>
  <c r="F27" i="3"/>
  <c r="G13" i="2"/>
  <c r="N11" i="1"/>
  <c r="E22" i="3"/>
  <c r="E24" i="3" s="1"/>
  <c r="C13" i="3"/>
  <c r="C17" i="3"/>
  <c r="F9" i="1"/>
  <c r="O10" i="1"/>
  <c r="N15" i="1"/>
  <c r="F22" i="3"/>
  <c r="F24" i="3" s="1"/>
  <c r="F19" i="3"/>
  <c r="F14" i="3"/>
  <c r="F8" i="3"/>
  <c r="P17" i="1"/>
  <c r="C14" i="3"/>
  <c r="D13" i="3"/>
  <c r="D11" i="3"/>
  <c r="C32" i="2"/>
  <c r="J14" i="1"/>
  <c r="N14" i="1"/>
  <c r="D28" i="3"/>
  <c r="D32" i="2"/>
  <c r="C16" i="3"/>
  <c r="E28" i="3"/>
  <c r="O6" i="1"/>
  <c r="F7" i="1"/>
  <c r="K14" i="1" s="1"/>
  <c r="F12" i="3"/>
  <c r="N20" i="1"/>
  <c r="F11" i="3"/>
  <c r="E27" i="3"/>
  <c r="F13" i="2"/>
  <c r="F10" i="3"/>
  <c r="G15" i="5"/>
  <c r="F26" i="2"/>
  <c r="D14" i="3"/>
  <c r="Q485" i="4"/>
  <c r="L485" i="4"/>
  <c r="C22" i="3"/>
  <c r="F16" i="3"/>
  <c r="G32" i="2"/>
  <c r="E7" i="1"/>
  <c r="J21" i="1" s="1"/>
  <c r="N6" i="1"/>
  <c r="J6" i="1"/>
  <c r="E8" i="3"/>
  <c r="O17" i="1"/>
  <c r="O14" i="1"/>
  <c r="N21" i="1"/>
  <c r="C8" i="3"/>
  <c r="M17" i="1"/>
  <c r="I17" i="1"/>
  <c r="C9" i="1"/>
  <c r="C10" i="3"/>
  <c r="C26" i="2"/>
  <c r="P6" i="1"/>
  <c r="G7" i="1"/>
  <c r="L11" i="1" s="1"/>
  <c r="I11" i="1"/>
  <c r="M11" i="1"/>
  <c r="K11" i="1"/>
  <c r="O11" i="1"/>
  <c r="M12" i="1"/>
  <c r="P14" i="1"/>
  <c r="O21" i="1"/>
  <c r="C7" i="1"/>
  <c r="P20" i="1"/>
  <c r="C18" i="3"/>
  <c r="I14" i="1"/>
  <c r="M14" i="1"/>
  <c r="P12" i="1"/>
  <c r="E14" i="3"/>
  <c r="D22" i="3"/>
  <c r="D15" i="3"/>
  <c r="O12" i="1"/>
  <c r="O485" i="4"/>
  <c r="J485" i="4"/>
  <c r="R485" i="4"/>
  <c r="M485" i="4"/>
  <c r="M21" i="1"/>
  <c r="D17" i="3"/>
  <c r="E13" i="3"/>
  <c r="P11" i="1"/>
  <c r="O18" i="1"/>
  <c r="F17" i="3"/>
  <c r="N18" i="1"/>
  <c r="D7" i="1"/>
  <c r="I12" i="1" s="1"/>
  <c r="M6" i="1"/>
  <c r="P15" i="1"/>
  <c r="D23" i="3"/>
  <c r="N12" i="1"/>
  <c r="M15" i="1"/>
  <c r="I15" i="1"/>
  <c r="C27" i="3"/>
  <c r="D13" i="2"/>
  <c r="G26" i="2"/>
  <c r="P21" i="1"/>
  <c r="I18" i="1"/>
  <c r="M18" i="1"/>
  <c r="D19" i="3"/>
  <c r="J10" i="1"/>
  <c r="N10" i="1"/>
  <c r="E9" i="1"/>
  <c r="D27" i="3"/>
  <c r="E13" i="2"/>
  <c r="P485" i="4"/>
  <c r="K485" i="4"/>
  <c r="E17" i="3"/>
  <c r="G19" i="5"/>
  <c r="F13" i="3"/>
  <c r="F18" i="3"/>
  <c r="G9" i="1"/>
  <c r="P10" i="1"/>
  <c r="K15" i="1"/>
  <c r="O15" i="1"/>
  <c r="D8" i="3"/>
  <c r="N17" i="1"/>
  <c r="E31" i="3"/>
  <c r="D34" i="3"/>
  <c r="D31" i="3"/>
  <c r="C34" i="3"/>
  <c r="L18" i="1"/>
  <c r="P18" i="1"/>
  <c r="D16" i="3"/>
  <c r="E32" i="2"/>
  <c r="D26" i="2"/>
  <c r="D10" i="3"/>
  <c r="H15" i="1"/>
  <c r="E26" i="2"/>
  <c r="E10" i="3"/>
  <c r="O20" i="1"/>
  <c r="C24" i="3" l="1"/>
  <c r="F19" i="5"/>
  <c r="K6" i="1"/>
  <c r="E19" i="5"/>
  <c r="H17" i="5"/>
  <c r="J18" i="1"/>
  <c r="H19" i="5"/>
  <c r="I21" i="1"/>
  <c r="I10" i="1"/>
  <c r="L10" i="1"/>
  <c r="E18" i="5"/>
  <c r="E15" i="5"/>
  <c r="L15" i="1"/>
  <c r="H15" i="5"/>
  <c r="L12" i="1"/>
  <c r="I6" i="1"/>
  <c r="K10" i="1"/>
  <c r="D6" i="5"/>
  <c r="C13" i="1"/>
  <c r="H7" i="1"/>
  <c r="D19" i="5"/>
  <c r="K12" i="1"/>
  <c r="H10" i="1"/>
  <c r="D17" i="5"/>
  <c r="P9" i="1"/>
  <c r="L9" i="1"/>
  <c r="H21" i="1"/>
  <c r="K17" i="1"/>
  <c r="L17" i="1"/>
  <c r="D16" i="5"/>
  <c r="I20" i="1"/>
  <c r="G33" i="2"/>
  <c r="H4" i="5"/>
  <c r="D15" i="5"/>
  <c r="H12" i="1"/>
  <c r="M9" i="1"/>
  <c r="I9" i="1"/>
  <c r="K21" i="1"/>
  <c r="E8" i="1"/>
  <c r="J7" i="1"/>
  <c r="N7" i="1"/>
  <c r="F6" i="5"/>
  <c r="E13" i="1"/>
  <c r="D18" i="5"/>
  <c r="H11" i="1"/>
  <c r="H18" i="5"/>
  <c r="L14" i="1"/>
  <c r="L6" i="1"/>
  <c r="E17" i="5"/>
  <c r="J20" i="1"/>
  <c r="J15" i="1"/>
  <c r="H6" i="1"/>
  <c r="H17" i="1"/>
  <c r="G6" i="5"/>
  <c r="O7" i="1"/>
  <c r="F8" i="1"/>
  <c r="K7" i="1"/>
  <c r="F13" i="1"/>
  <c r="H9" i="1"/>
  <c r="J11" i="1"/>
  <c r="D33" i="2"/>
  <c r="E4" i="5"/>
  <c r="F18" i="5"/>
  <c r="F20" i="5" s="1"/>
  <c r="J17" i="1"/>
  <c r="G16" i="5"/>
  <c r="J9" i="1"/>
  <c r="N9" i="1"/>
  <c r="L21" i="1"/>
  <c r="J12" i="1"/>
  <c r="H16" i="5"/>
  <c r="D24" i="3"/>
  <c r="H20" i="1"/>
  <c r="O9" i="1"/>
  <c r="K9" i="1"/>
  <c r="H18" i="1"/>
  <c r="K20" i="1"/>
  <c r="K18" i="1"/>
  <c r="G13" i="1"/>
  <c r="H6" i="5"/>
  <c r="G8" i="1"/>
  <c r="L7" i="1"/>
  <c r="P7" i="1"/>
  <c r="F15" i="5"/>
  <c r="H14" i="1"/>
  <c r="D8" i="1"/>
  <c r="I7" i="1"/>
  <c r="D13" i="1"/>
  <c r="M7" i="1"/>
  <c r="E6" i="5"/>
  <c r="F4" i="5"/>
  <c r="E33" i="2"/>
  <c r="F16" i="5"/>
  <c r="F17" i="5"/>
  <c r="L20" i="1"/>
  <c r="C33" i="2"/>
  <c r="D4" i="5"/>
  <c r="F33" i="2"/>
  <c r="G4" i="5"/>
  <c r="E16" i="5"/>
  <c r="G17" i="5"/>
  <c r="G18" i="5"/>
  <c r="H20" i="5" l="1"/>
  <c r="G20" i="5"/>
  <c r="E20" i="5"/>
  <c r="D20" i="5"/>
  <c r="H22" i="5"/>
  <c r="G34" i="2"/>
  <c r="P13" i="1"/>
  <c r="L13" i="1"/>
  <c r="G16" i="1"/>
  <c r="E16" i="1"/>
  <c r="N13" i="1"/>
  <c r="J13" i="1"/>
  <c r="D22" i="5"/>
  <c r="C34" i="2"/>
  <c r="E22" i="5"/>
  <c r="D34" i="2"/>
  <c r="D16" i="1"/>
  <c r="M13" i="1"/>
  <c r="I13" i="1"/>
  <c r="F22" i="5"/>
  <c r="E34" i="2"/>
  <c r="F16" i="1"/>
  <c r="O13" i="1"/>
  <c r="K13" i="1"/>
  <c r="H13" i="1"/>
  <c r="C16" i="1"/>
  <c r="G22" i="5"/>
  <c r="F34" i="2"/>
  <c r="C19" i="1" l="1"/>
  <c r="H16" i="1"/>
  <c r="D9" i="5" s="1"/>
  <c r="F19" i="1"/>
  <c r="O16" i="1"/>
  <c r="K16" i="1"/>
  <c r="G9" i="5" s="1"/>
  <c r="N16" i="1"/>
  <c r="E19" i="1"/>
  <c r="J16" i="1"/>
  <c r="F9" i="5" s="1"/>
  <c r="P16" i="1"/>
  <c r="L16" i="1"/>
  <c r="H9" i="5" s="1"/>
  <c r="G19" i="1"/>
  <c r="D19" i="1"/>
  <c r="M16" i="1"/>
  <c r="I16" i="1"/>
  <c r="E9" i="5" s="1"/>
  <c r="E22" i="1" l="1"/>
  <c r="J19" i="1"/>
  <c r="F10" i="5" s="1"/>
  <c r="N19" i="1"/>
  <c r="K19" i="1"/>
  <c r="G10" i="5" s="1"/>
  <c r="F22" i="1"/>
  <c r="O19" i="1"/>
  <c r="M19" i="1"/>
  <c r="I19" i="1"/>
  <c r="E10" i="5" s="1"/>
  <c r="D22" i="1"/>
  <c r="L19" i="1"/>
  <c r="H10" i="5" s="1"/>
  <c r="P19" i="1"/>
  <c r="G22" i="1"/>
  <c r="C22" i="1"/>
  <c r="H19" i="1"/>
  <c r="D10" i="5" s="1"/>
  <c r="C20" i="4" l="1"/>
  <c r="C21" i="4" s="1"/>
  <c r="C25" i="1"/>
  <c r="H22" i="1"/>
  <c r="D20" i="4"/>
  <c r="C7" i="3"/>
  <c r="C9" i="3" s="1"/>
  <c r="C20" i="3" s="1"/>
  <c r="D25" i="1"/>
  <c r="I22" i="1"/>
  <c r="M22" i="1"/>
  <c r="F20" i="4"/>
  <c r="E7" i="3"/>
  <c r="E9" i="3" s="1"/>
  <c r="E20" i="3" s="1"/>
  <c r="O22" i="1"/>
  <c r="K22" i="1"/>
  <c r="F25" i="1"/>
  <c r="F7" i="3"/>
  <c r="F9" i="3" s="1"/>
  <c r="F20" i="3" s="1"/>
  <c r="G20" i="4"/>
  <c r="P22" i="1"/>
  <c r="L22" i="1"/>
  <c r="G25" i="1"/>
  <c r="D7" i="3"/>
  <c r="D9" i="3" s="1"/>
  <c r="D20" i="3" s="1"/>
  <c r="E20" i="4"/>
  <c r="J22" i="1"/>
  <c r="E25" i="1"/>
  <c r="N22" i="1"/>
  <c r="D17" i="4" l="1"/>
  <c r="D21" i="4" s="1"/>
  <c r="C22" i="4"/>
  <c r="C9" i="2" s="1"/>
  <c r="C10" i="2" s="1"/>
  <c r="C14" i="2" l="1"/>
  <c r="C36" i="2" s="1"/>
  <c r="D7" i="5"/>
  <c r="D8" i="5"/>
  <c r="E17" i="4"/>
  <c r="E21" i="4" s="1"/>
  <c r="D22" i="4"/>
  <c r="D9" i="2" s="1"/>
  <c r="F17" i="4" l="1"/>
  <c r="F21" i="4" s="1"/>
  <c r="E22" i="4"/>
  <c r="E9" i="2" s="1"/>
  <c r="C26" i="3"/>
  <c r="C29" i="3" s="1"/>
  <c r="C30" i="3" s="1"/>
  <c r="C32" i="3" s="1"/>
  <c r="C35" i="3" s="1"/>
  <c r="D10" i="2"/>
  <c r="D14" i="2" l="1"/>
  <c r="D36" i="2" s="1"/>
  <c r="E7" i="5"/>
  <c r="E8" i="5"/>
  <c r="D26" i="3"/>
  <c r="D29" i="3" s="1"/>
  <c r="D30" i="3" s="1"/>
  <c r="D32" i="3" s="1"/>
  <c r="D35" i="3" s="1"/>
  <c r="E10" i="2"/>
  <c r="G17" i="4"/>
  <c r="G21" i="4" s="1"/>
  <c r="G22" i="4" s="1"/>
  <c r="G9" i="2" s="1"/>
  <c r="F22" i="4"/>
  <c r="F9" i="2" s="1"/>
  <c r="E14" i="2" l="1"/>
  <c r="E36" i="2" s="1"/>
  <c r="F8" i="5"/>
  <c r="F7" i="5"/>
  <c r="F26" i="3"/>
  <c r="F29" i="3" s="1"/>
  <c r="F30" i="3" s="1"/>
  <c r="F32" i="3" s="1"/>
  <c r="F35" i="3" s="1"/>
  <c r="G10" i="2"/>
  <c r="E26" i="3"/>
  <c r="E29" i="3" s="1"/>
  <c r="E30" i="3" s="1"/>
  <c r="E32" i="3" s="1"/>
  <c r="E35" i="3" s="1"/>
  <c r="F10" i="2"/>
  <c r="F14" i="2" l="1"/>
  <c r="F36" i="2" s="1"/>
  <c r="G8" i="5"/>
  <c r="G7" i="5"/>
  <c r="G14" i="2"/>
  <c r="G36" i="2" s="1"/>
  <c r="H8" i="5"/>
  <c r="H7" i="5"/>
</calcChain>
</file>

<file path=xl/sharedStrings.xml><?xml version="1.0" encoding="utf-8"?>
<sst xmlns="http://schemas.openxmlformats.org/spreadsheetml/2006/main" count="383" uniqueCount="294">
  <si>
    <t>Key ratio analysis:</t>
  </si>
  <si>
    <t>Particulars</t>
  </si>
  <si>
    <t>Formula</t>
  </si>
  <si>
    <t>Current ratio</t>
  </si>
  <si>
    <t>Current assets/ current liabilities</t>
  </si>
  <si>
    <t>Current Ratio</t>
  </si>
  <si>
    <t>Fixed assets turnover ratio</t>
  </si>
  <si>
    <t>Total revenue/ total fixed assets</t>
  </si>
  <si>
    <t>Pre-tax ROCE (%)</t>
  </si>
  <si>
    <t>EBIT/ closing adjusted capital employed</t>
  </si>
  <si>
    <t>Pre-tax ROE (%)</t>
  </si>
  <si>
    <t>PBT/ closing adjusted net worth</t>
  </si>
  <si>
    <t>Operating EBITDA margin (%)</t>
  </si>
  <si>
    <t>Operating EBITDA/ total revenue</t>
  </si>
  <si>
    <t>Operating PBT margin (%)</t>
  </si>
  <si>
    <t>Operating PBT/ total revenue</t>
  </si>
  <si>
    <t>Cash conversion cycle:</t>
  </si>
  <si>
    <t>Receivables days</t>
  </si>
  <si>
    <t>(Closing receivables / Turnover)*365</t>
  </si>
  <si>
    <t>Inventory days</t>
  </si>
  <si>
    <t>(Closing inventory / Turnover)*365</t>
  </si>
  <si>
    <t>OCA, L&amp;A days</t>
  </si>
  <si>
    <t>(Closing OCA, L&amp;A / Turnover)*365</t>
  </si>
  <si>
    <t>Payable days</t>
  </si>
  <si>
    <t>(Closing payables / Turnover)*365</t>
  </si>
  <si>
    <t>OCL, Provisions days</t>
  </si>
  <si>
    <t>(Closing OCL, Provisions / Turnover)*365</t>
  </si>
  <si>
    <t>Net cash conversion cycle</t>
  </si>
  <si>
    <t>Net current asset days/ working capital days/ cash conversion cycle</t>
  </si>
  <si>
    <t>Name</t>
  </si>
  <si>
    <t/>
  </si>
  <si>
    <t>Income statement</t>
  </si>
  <si>
    <t>&lt;&lt;Do not delete&gt;&gt;</t>
  </si>
  <si>
    <t>INR million</t>
  </si>
  <si>
    <t>% to revenue</t>
  </si>
  <si>
    <t>% change y-o-y</t>
  </si>
  <si>
    <t>FY22</t>
  </si>
  <si>
    <t>FY23</t>
  </si>
  <si>
    <t>FY24</t>
  </si>
  <si>
    <t>FY25</t>
  </si>
  <si>
    <t>FY26</t>
  </si>
  <si>
    <t>INR</t>
  </si>
  <si>
    <t>Revenue from operations</t>
  </si>
  <si>
    <t>INR lakhs</t>
  </si>
  <si>
    <t>Total revenue</t>
  </si>
  <si>
    <t>Cost of goods sold</t>
  </si>
  <si>
    <t>Purchases</t>
  </si>
  <si>
    <t>Changes in inventories of finished goods</t>
  </si>
  <si>
    <t>Direct expenses</t>
  </si>
  <si>
    <t>Gross margin</t>
  </si>
  <si>
    <t>Employee benefit expense</t>
  </si>
  <si>
    <t>Other expenses</t>
  </si>
  <si>
    <t>Operating EBITDA</t>
  </si>
  <si>
    <t>Depreciation</t>
  </si>
  <si>
    <t>Finance cost</t>
  </si>
  <si>
    <t>Operating PBT</t>
  </si>
  <si>
    <t>Non operating income</t>
  </si>
  <si>
    <t>Tax expense</t>
  </si>
  <si>
    <t>PAT</t>
  </si>
  <si>
    <t>As per financials</t>
  </si>
  <si>
    <t>Difference</t>
  </si>
  <si>
    <t xml:space="preserve">Balance sheet </t>
  </si>
  <si>
    <t>31 Mar 22</t>
  </si>
  <si>
    <t>31 Mar 23</t>
  </si>
  <si>
    <t>31 Mar 24</t>
  </si>
  <si>
    <t>31 Mar 25</t>
  </si>
  <si>
    <t>31 Mar 26</t>
  </si>
  <si>
    <t>Equity &amp; liabilities</t>
  </si>
  <si>
    <t>Shareholder's fund</t>
  </si>
  <si>
    <t>Share capital</t>
  </si>
  <si>
    <t>Reserves and surplus</t>
  </si>
  <si>
    <t>Net worth</t>
  </si>
  <si>
    <t>Long-term borrowings</t>
  </si>
  <si>
    <t>Short-term borrowings</t>
  </si>
  <si>
    <t>Borrowings</t>
  </si>
  <si>
    <t>Total</t>
  </si>
  <si>
    <t>Assets</t>
  </si>
  <si>
    <t>Tangible assets</t>
  </si>
  <si>
    <t>Deferred tax assets (net)</t>
  </si>
  <si>
    <t>Current and non-current investments</t>
  </si>
  <si>
    <t>Cash and cash equivalents</t>
  </si>
  <si>
    <t>Current assets</t>
  </si>
  <si>
    <t>Trade receivables</t>
  </si>
  <si>
    <t>Inventories</t>
  </si>
  <si>
    <t>Long-term loans and advances</t>
  </si>
  <si>
    <t>Short term loan and advances</t>
  </si>
  <si>
    <t>Other current assets</t>
  </si>
  <si>
    <t>Current Liabilities</t>
  </si>
  <si>
    <t>Trade payables</t>
  </si>
  <si>
    <t>Other current liabilities</t>
  </si>
  <si>
    <t>Long-term provisions</t>
  </si>
  <si>
    <t>Short-term provisions</t>
  </si>
  <si>
    <t>Current liabilities</t>
  </si>
  <si>
    <t>Net current assets</t>
  </si>
  <si>
    <t>Check</t>
  </si>
  <si>
    <t>Cashflow statements</t>
  </si>
  <si>
    <t>Cashflow from operating activities</t>
  </si>
  <si>
    <t xml:space="preserve">Net profit after tax </t>
  </si>
  <si>
    <t>Operating profit before working capital changes</t>
  </si>
  <si>
    <t>(Increase)/decrease in receivables</t>
  </si>
  <si>
    <t>(Increase)/decrease in short term loans and advances</t>
  </si>
  <si>
    <t>(Increase)/decrease in other current assets</t>
  </si>
  <si>
    <t>(Increase)/decrease in inventories</t>
  </si>
  <si>
    <t>(Increase)/decrease in long term loans and advances</t>
  </si>
  <si>
    <t>(Increase)/decrease in deferred tax assets</t>
  </si>
  <si>
    <t>Increase/(decrease) in trade payables</t>
  </si>
  <si>
    <t>Increase/(decrease) in other current liabilities</t>
  </si>
  <si>
    <t>Increase/(decrease) in short term provision</t>
  </si>
  <si>
    <t>Increase/(decrease) in long term provision</t>
  </si>
  <si>
    <t>Net cash from (used in) operating activities</t>
  </si>
  <si>
    <t>Cashflow from investing activities</t>
  </si>
  <si>
    <t>(Purchase)/sale of fixed assets</t>
  </si>
  <si>
    <t>(Increase)/decrease in non-current investment</t>
  </si>
  <si>
    <t>Net cash from (used in) investing activities</t>
  </si>
  <si>
    <t>Cashflow from financing activities</t>
  </si>
  <si>
    <t xml:space="preserve">Changes in reserves </t>
  </si>
  <si>
    <t>Increase/(decrease) in long term borrowings</t>
  </si>
  <si>
    <t>Increase/(decrease) in short term borrowings</t>
  </si>
  <si>
    <t>Net cash from (used in) financing activities</t>
  </si>
  <si>
    <t>Increase/(decrease) in cash and cash equivalents</t>
  </si>
  <si>
    <t>Opening cash and cash equivalents</t>
  </si>
  <si>
    <t>Closing cash and cash equivalents</t>
  </si>
  <si>
    <t>Notes to accounts</t>
  </si>
  <si>
    <t xml:space="preserve">Authorised </t>
  </si>
  <si>
    <t>"x" equity shares of Rs. 10 each</t>
  </si>
  <si>
    <t>Issued, subscribed and paid up</t>
  </si>
  <si>
    <t>Securities premium</t>
  </si>
  <si>
    <t>Other reserves</t>
  </si>
  <si>
    <t>Surplus</t>
  </si>
  <si>
    <t>Opening balance</t>
  </si>
  <si>
    <t>Less: Income tax paid</t>
  </si>
  <si>
    <t>Additions during the year</t>
  </si>
  <si>
    <t>Profit for the year</t>
  </si>
  <si>
    <t>Closing balance</t>
  </si>
  <si>
    <t>Long term provisions</t>
  </si>
  <si>
    <t>Provision for gratuity</t>
  </si>
  <si>
    <t>Provision for leave encashment</t>
  </si>
  <si>
    <t>Long term borrowings</t>
  </si>
  <si>
    <t>Director's loan a/c</t>
  </si>
  <si>
    <t>Term loan</t>
  </si>
  <si>
    <t xml:space="preserve">Sundry creditors for goods </t>
  </si>
  <si>
    <t xml:space="preserve">Sundry creditors for other than goods </t>
  </si>
  <si>
    <t>Advance from customers (Interest free)</t>
  </si>
  <si>
    <t>Short term borrowings</t>
  </si>
  <si>
    <t>Secured loan from banks</t>
  </si>
  <si>
    <t>Hong Kong and Shanghai banking corp. ltd.</t>
  </si>
  <si>
    <t>ICICI bank car loan a/c</t>
  </si>
  <si>
    <t>Unsecured loans</t>
  </si>
  <si>
    <t>Short term provisions</t>
  </si>
  <si>
    <t>Provision for expenses</t>
  </si>
  <si>
    <t>Current year's tax payable</t>
  </si>
  <si>
    <t>TDS &amp; TCS payable</t>
  </si>
  <si>
    <t>GST payable</t>
  </si>
  <si>
    <t>ESIC payable</t>
  </si>
  <si>
    <t>PF payable</t>
  </si>
  <si>
    <t>Leave encashment payable</t>
  </si>
  <si>
    <t>Security taken for service centre</t>
  </si>
  <si>
    <t>Other payables</t>
  </si>
  <si>
    <t>Fixed assets</t>
  </si>
  <si>
    <t>Property, plant and equipments</t>
  </si>
  <si>
    <t>Electrical installation &amp; equipments</t>
  </si>
  <si>
    <t>Office equipments</t>
  </si>
  <si>
    <t>Vehicles (cars)</t>
  </si>
  <si>
    <t>Vehicles (other)</t>
  </si>
  <si>
    <t>Furniture &amp; fixtures</t>
  </si>
  <si>
    <t>Land</t>
  </si>
  <si>
    <t>Building</t>
  </si>
  <si>
    <t>Machinery</t>
  </si>
  <si>
    <t>Intangible</t>
  </si>
  <si>
    <t>Computers</t>
  </si>
  <si>
    <t>Long term loans &amp; advances</t>
  </si>
  <si>
    <t>Security deposits</t>
  </si>
  <si>
    <t>Non-current investments</t>
  </si>
  <si>
    <t>Investment in shares</t>
  </si>
  <si>
    <t>Others</t>
  </si>
  <si>
    <t>Investment in mutual funds</t>
  </si>
  <si>
    <t>Outstanding for a period more than six months</t>
  </si>
  <si>
    <t>Outstanding for a period less than six months</t>
  </si>
  <si>
    <t>Advance paid to suppliers</t>
  </si>
  <si>
    <t>Raw material</t>
  </si>
  <si>
    <t>Work-in-progress</t>
  </si>
  <si>
    <t>Finished goods</t>
  </si>
  <si>
    <t>Stores and spares</t>
  </si>
  <si>
    <t>Cash on hand</t>
  </si>
  <si>
    <t>Balances with banks</t>
  </si>
  <si>
    <t xml:space="preserve">Fixed deposit </t>
  </si>
  <si>
    <t>Total cash and cash equivalents</t>
  </si>
  <si>
    <t xml:space="preserve">Deferred tax assets </t>
  </si>
  <si>
    <t>Deferred tax liabilities</t>
  </si>
  <si>
    <t>Short term loans and advances</t>
  </si>
  <si>
    <t xml:space="preserve">Advance tax </t>
  </si>
  <si>
    <t>Balance with revenue authorities</t>
  </si>
  <si>
    <t>Advance to employees</t>
  </si>
  <si>
    <t>Other current asset</t>
  </si>
  <si>
    <t>Prepaid exp.</t>
  </si>
  <si>
    <t>Focus in hand</t>
  </si>
  <si>
    <t xml:space="preserve">Interest accrued </t>
  </si>
  <si>
    <t>Sale of goods</t>
  </si>
  <si>
    <t>Other operating income</t>
  </si>
  <si>
    <t>Sale of services</t>
  </si>
  <si>
    <t>Other income</t>
  </si>
  <si>
    <t>Interest on IT refund</t>
  </si>
  <si>
    <t>Interest on Loan</t>
  </si>
  <si>
    <t>Miscellaneous Income</t>
  </si>
  <si>
    <t>Interest on FD</t>
  </si>
  <si>
    <t>Purchase of traded goods</t>
  </si>
  <si>
    <t>Cost of materials consumed</t>
  </si>
  <si>
    <t>Change in inventories</t>
  </si>
  <si>
    <t>Opening stock</t>
  </si>
  <si>
    <t>Closing stock</t>
  </si>
  <si>
    <t>Employee benefit expenses</t>
  </si>
  <si>
    <t>Directors remuneration</t>
  </si>
  <si>
    <t>Salaries and wages</t>
  </si>
  <si>
    <t xml:space="preserve">Contribution to - </t>
  </si>
  <si>
    <t>Co's contribution to PF</t>
  </si>
  <si>
    <t>Co's contribution to ESIC</t>
  </si>
  <si>
    <t>Co's contribution to other funds</t>
  </si>
  <si>
    <t>Health/ Life insurance</t>
  </si>
  <si>
    <t>Workers and staff welfare</t>
  </si>
  <si>
    <t>Bonus paid</t>
  </si>
  <si>
    <t>Gratuity paid</t>
  </si>
  <si>
    <t>Gratuity provision</t>
  </si>
  <si>
    <t>Leave salary</t>
  </si>
  <si>
    <t>Depreciation and amortization</t>
  </si>
  <si>
    <t>Amortisation</t>
  </si>
  <si>
    <t>Interest expenses</t>
  </si>
  <si>
    <t>To bank</t>
  </si>
  <si>
    <t>To unsecured loans</t>
  </si>
  <si>
    <t>Bank charges</t>
  </si>
  <si>
    <t>Current tax</t>
  </si>
  <si>
    <t>Advance tax</t>
  </si>
  <si>
    <t>Deferred tax</t>
  </si>
  <si>
    <t>y-o-y change</t>
  </si>
  <si>
    <t>Freight inward</t>
  </si>
  <si>
    <t>Factory electricity expenses</t>
  </si>
  <si>
    <t>Wages</t>
  </si>
  <si>
    <t>Factory rent</t>
  </si>
  <si>
    <t>Custom duty</t>
  </si>
  <si>
    <t>Diesel expenses</t>
  </si>
  <si>
    <t>Production expenses</t>
  </si>
  <si>
    <t>Foreign exchange fluctuation loss/ (gain)</t>
  </si>
  <si>
    <t>Direct labor</t>
  </si>
  <si>
    <t>Direct materials</t>
  </si>
  <si>
    <t>Manufacturing supplies</t>
  </si>
  <si>
    <t>Factory lighting</t>
  </si>
  <si>
    <t>Factory insurance</t>
  </si>
  <si>
    <t>Packing expenses</t>
  </si>
  <si>
    <t>Gas, water, and fuel</t>
  </si>
  <si>
    <t>Cost of raw materials</t>
  </si>
  <si>
    <t>Equipment</t>
  </si>
  <si>
    <t>Cargo</t>
  </si>
  <si>
    <t>Insurance stock</t>
  </si>
  <si>
    <t>Admin. expenses</t>
  </si>
  <si>
    <t>Annual maintenance charges</t>
  </si>
  <si>
    <t>Audit fees</t>
  </si>
  <si>
    <t>Additional demand duties and taxes</t>
  </si>
  <si>
    <t>BIS &amp; Certification charges</t>
  </si>
  <si>
    <t>Donation</t>
  </si>
  <si>
    <t>Electricity expenses</t>
  </si>
  <si>
    <t>Fees &amp; taxes</t>
  </si>
  <si>
    <t>Festival celebration expenses</t>
  </si>
  <si>
    <t>Fine &amp; penalties</t>
  </si>
  <si>
    <t>Insurance charges</t>
  </si>
  <si>
    <t xml:space="preserve">Loss on sale of fixed asset </t>
  </si>
  <si>
    <t>Miscellaneous expenses</t>
  </si>
  <si>
    <t>Office expenses</t>
  </si>
  <si>
    <t>Printing and stationery expenses</t>
  </si>
  <si>
    <t>Postage and courier expenses</t>
  </si>
  <si>
    <t>Professional charges</t>
  </si>
  <si>
    <t>Rent</t>
  </si>
  <si>
    <t>Repair &amp; maintenance</t>
  </si>
  <si>
    <t>General</t>
  </si>
  <si>
    <t>Buildings</t>
  </si>
  <si>
    <t>Software expenses</t>
  </si>
  <si>
    <t>Subscription/ Membership fees</t>
  </si>
  <si>
    <t>Stamps &amp; duties</t>
  </si>
  <si>
    <t>Telephone charges</t>
  </si>
  <si>
    <t>Travelling expenses foreign</t>
  </si>
  <si>
    <t>Other admin expenses</t>
  </si>
  <si>
    <t>Vehicle running expenses</t>
  </si>
  <si>
    <t>Selling and distribution expenses</t>
  </si>
  <si>
    <t>Advertisement</t>
  </si>
  <si>
    <t>Business promotion</t>
  </si>
  <si>
    <t>Commission</t>
  </si>
  <si>
    <t xml:space="preserve">Conference </t>
  </si>
  <si>
    <t>E-commerce support service</t>
  </si>
  <si>
    <t>Freight &amp; cartage (outward)</t>
  </si>
  <si>
    <t>Marketing staff conveyance expenses</t>
  </si>
  <si>
    <t xml:space="preserve">Schemes and samples </t>
  </si>
  <si>
    <t>DR/CR Amt. w/o</t>
  </si>
  <si>
    <t>Travelling exp. within India</t>
  </si>
  <si>
    <t>Warranty &amp; replacement</t>
  </si>
  <si>
    <t>Current investments</t>
  </si>
  <si>
    <t>Current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</si>
</sst>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_(* #,##0.0_);_(* \(#,##0.0\);_(* &quot;-&quot;?_);@_)"/>
    <numFmt numFmtId="167" formatCode="0.0%"/>
    <numFmt numFmtId="168" formatCode="_(* #,##0_);_(* \(#,##0\);_(* &quot;-&quot;??_);_(@_)"/>
    <numFmt numFmtId="169" formatCode="_(* #,##0.0_);_(* \(#,##0.0\);_(* &quot;-&quot;??_);_(@_)"/>
    <numFmt numFmtId="170" formatCode="_(* #,##0_);_(* \(#,##0\);_(* &quot;-&quot;?_);@_)"/>
    <numFmt numFmtId="171" formatCode="#,##0.0_);\(#,##0.0\)"/>
    <numFmt numFmtId="172" formatCode="_ * #,##0.000_ ;_ * \-#,##0.000_ ;_ * &quot;-&quot;??_ ;_ @_ "/>
    <numFmt numFmtId="173" formatCode="_ * #,##0.000000000000000000000000000000000000_ ;_ * \-#,##0.000000000000000000000000000000000000_ ;_ * &quot;-&quot;??_ ;_ @_ "/>
    <numFmt numFmtId="174" formatCode="_ * #,##0.00000000000000000_ ;_ * \-#,##0.00000000000000000_ ;_ * &quot;-&quot;??_ ;_ @_ "/>
    <numFmt numFmtId="175" formatCode="_(&quot;$&quot;* #,##0.00_);_(&quot;$&quot;* \(#,##0.00\);_(&quot;$&quot;* &quot;-&quot;??_);_(@_)"/>
    <numFmt numFmtId="176" formatCode="_(* #,##0.00_);_(* \(#,##0.00\);_(* \-??_);_(@_)"/>
  </numFmts>
  <fonts count="26">
    <font>
      <sz val="11"/>
      <color theme="1"/>
      <name val="Calibri"/>
      <family val="2"/>
      <scheme val="minor"/>
    </font>
    <font>
      <sz val="10"/>
      <color theme="1"/>
      <name val="Ebrima"/>
      <family val="2"/>
    </font>
    <font>
      <sz val="10"/>
      <color theme="1"/>
      <name val="Ebri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Ebrima"/>
      <family val="2"/>
    </font>
    <font>
      <sz val="10"/>
      <color theme="1"/>
      <name val="Ebrima"/>
      <family val="2"/>
    </font>
    <font>
      <sz val="10"/>
      <name val="Ebrima"/>
      <family val="2"/>
    </font>
    <font>
      <b/>
      <sz val="10"/>
      <color theme="1"/>
      <name val="Ebrima"/>
      <family val="2"/>
    </font>
    <font>
      <sz val="9"/>
      <name val="Arial"/>
      <family val="2"/>
    </font>
    <font>
      <u/>
      <sz val="11"/>
      <color theme="10"/>
      <name val="Calibri"/>
      <family val="2"/>
    </font>
    <font>
      <i/>
      <sz val="10"/>
      <color theme="1"/>
      <name val="Ebrima"/>
      <family val="2"/>
    </font>
    <font>
      <sz val="10"/>
      <color theme="1"/>
      <name val="Ebrima"/>
      <family val="2"/>
    </font>
    <font>
      <b/>
      <sz val="10"/>
      <color theme="0"/>
      <name val="Ebrima"/>
      <family val="2"/>
    </font>
    <font>
      <sz val="10"/>
      <color rgb="FFFF0000"/>
      <name val="Ebrima"/>
      <family val="2"/>
    </font>
    <font>
      <i/>
      <sz val="10"/>
      <color rgb="FFFF0000"/>
      <name val="Ebrima"/>
      <family val="2"/>
    </font>
    <font>
      <i/>
      <sz val="10"/>
      <name val="Ebrima"/>
      <family val="2"/>
    </font>
    <font>
      <sz val="9"/>
      <color theme="1"/>
      <name val="Ebrima"/>
      <family val="2"/>
    </font>
    <font>
      <sz val="9"/>
      <name val="Ebrima"/>
      <family val="2"/>
    </font>
    <font>
      <b/>
      <i/>
      <sz val="10"/>
      <name val="Ebrima"/>
    </font>
    <font>
      <b/>
      <i/>
      <sz val="10"/>
      <color theme="1"/>
      <name val="Ebrima"/>
    </font>
    <font>
      <sz val="10"/>
      <color theme="1"/>
      <name val="Ebrima"/>
    </font>
    <font>
      <sz val="10"/>
      <name val="Ebrima"/>
    </font>
    <font>
      <b/>
      <sz val="10"/>
      <color theme="1"/>
      <name val="Ebrima"/>
    </font>
    <font>
      <b/>
      <u/>
      <sz val="10"/>
      <color theme="1"/>
      <name val="Ebrima"/>
    </font>
    <font>
      <b/>
      <u/>
      <sz val="10"/>
      <name val="Ebrima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DEBF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4">
    <xf numFmtId="0" fontId="0" fillId="0" borderId="0"/>
    <xf numFmtId="43" fontId="3" fillId="0" borderId="0"/>
    <xf numFmtId="9" fontId="3" fillId="0" borderId="0"/>
    <xf numFmtId="0" fontId="4" fillId="0" borderId="0"/>
    <xf numFmtId="166" fontId="9" fillId="0" borderId="0"/>
    <xf numFmtId="43" fontId="3" fillId="0" borderId="0"/>
    <xf numFmtId="43" fontId="3" fillId="0" borderId="0"/>
    <xf numFmtId="43" fontId="4" fillId="0" borderId="0"/>
    <xf numFmtId="43" fontId="4" fillId="0" borderId="0"/>
    <xf numFmtId="43" fontId="4" fillId="0" borderId="0"/>
    <xf numFmtId="43" fontId="3" fillId="0" borderId="0"/>
    <xf numFmtId="0" fontId="10" fillId="0" borderId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43" fontId="3" fillId="0" borderId="0"/>
    <xf numFmtId="43" fontId="3" fillId="0" borderId="0"/>
    <xf numFmtId="43" fontId="3" fillId="0" borderId="0"/>
    <xf numFmtId="0" fontId="4" fillId="0" borderId="0"/>
    <xf numFmtId="0" fontId="12" fillId="0" borderId="0"/>
    <xf numFmtId="175" fontId="4" fillId="0" borderId="0"/>
    <xf numFmtId="176" fontId="4" fillId="0" borderId="0"/>
    <xf numFmtId="9" fontId="4" fillId="0" borderId="0"/>
  </cellStyleXfs>
  <cellXfs count="232">
    <xf numFmtId="0" fontId="0" fillId="0" borderId="0" xfId="0"/>
    <xf numFmtId="164" fontId="6" fillId="0" borderId="0" xfId="1" applyNumberFormat="1" applyFont="1"/>
    <xf numFmtId="0" fontId="5" fillId="0" borderId="0" xfId="3" applyFont="1" applyAlignment="1">
      <alignment horizontal="left" vertical="top"/>
    </xf>
    <xf numFmtId="0" fontId="7" fillId="0" borderId="0" xfId="3" applyFont="1" applyAlignment="1">
      <alignment horizontal="left" vertical="top" wrapText="1"/>
    </xf>
    <xf numFmtId="165" fontId="6" fillId="0" borderId="0" xfId="1" applyNumberFormat="1" applyFont="1"/>
    <xf numFmtId="165" fontId="8" fillId="0" borderId="0" xfId="1" applyNumberFormat="1" applyFont="1"/>
    <xf numFmtId="166" fontId="7" fillId="0" borderId="0" xfId="4" applyFont="1" applyAlignment="1">
      <alignment horizontal="left"/>
    </xf>
    <xf numFmtId="0" fontId="6" fillId="0" borderId="0" xfId="0" applyFont="1"/>
    <xf numFmtId="165" fontId="8" fillId="0" borderId="0" xfId="1" applyNumberFormat="1" applyFont="1" applyAlignment="1">
      <alignment vertical="top"/>
    </xf>
    <xf numFmtId="0" fontId="8" fillId="0" borderId="0" xfId="0" applyFont="1"/>
    <xf numFmtId="0" fontId="8" fillId="0" borderId="6" xfId="0" applyFont="1" applyBorder="1"/>
    <xf numFmtId="165" fontId="6" fillId="0" borderId="0" xfId="1" applyNumberFormat="1" applyFont="1" applyAlignment="1">
      <alignment horizontal="right"/>
    </xf>
    <xf numFmtId="0" fontId="7" fillId="0" borderId="0" xfId="3" applyFont="1" applyAlignment="1">
      <alignment horizontal="left" vertical="top"/>
    </xf>
    <xf numFmtId="0" fontId="6" fillId="0" borderId="0" xfId="1" applyNumberFormat="1" applyFont="1"/>
    <xf numFmtId="0" fontId="6" fillId="0" borderId="0" xfId="1" applyNumberFormat="1" applyFont="1" applyAlignment="1">
      <alignment horizontal="left"/>
    </xf>
    <xf numFmtId="165" fontId="8" fillId="0" borderId="0" xfId="1" applyNumberFormat="1" applyFont="1" applyAlignment="1">
      <alignment horizontal="right" vertical="center"/>
    </xf>
    <xf numFmtId="0" fontId="6" fillId="0" borderId="8" xfId="0" applyFont="1" applyBorder="1"/>
    <xf numFmtId="0" fontId="7" fillId="0" borderId="0" xfId="19" applyFont="1" applyAlignment="1" applyProtection="1">
      <alignment vertical="center"/>
      <protection locked="0"/>
    </xf>
    <xf numFmtId="43" fontId="5" fillId="0" borderId="0" xfId="1" applyFont="1" applyAlignment="1" applyProtection="1">
      <alignment vertical="center"/>
      <protection locked="0"/>
    </xf>
    <xf numFmtId="43" fontId="7" fillId="0" borderId="0" xfId="19" applyNumberFormat="1" applyFont="1" applyAlignment="1" applyProtection="1">
      <alignment vertical="center"/>
      <protection locked="0"/>
    </xf>
    <xf numFmtId="0" fontId="7" fillId="2" borderId="0" xfId="0" applyFont="1" applyFill="1" applyAlignment="1">
      <alignment horizontal="left" vertical="center"/>
    </xf>
    <xf numFmtId="164" fontId="7" fillId="2" borderId="0" xfId="1" applyNumberFormat="1" applyFont="1" applyFill="1" applyAlignment="1">
      <alignment horizontal="right" vertical="center"/>
    </xf>
    <xf numFmtId="167" fontId="7" fillId="2" borderId="0" xfId="2" applyNumberFormat="1" applyFont="1" applyFill="1" applyAlignment="1">
      <alignment horizontal="right" vertical="center"/>
    </xf>
    <xf numFmtId="0" fontId="7" fillId="2" borderId="8" xfId="0" applyFont="1" applyFill="1" applyBorder="1" applyAlignment="1">
      <alignment horizontal="left" vertical="center"/>
    </xf>
    <xf numFmtId="167" fontId="7" fillId="2" borderId="8" xfId="2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43" fontId="8" fillId="0" borderId="0" xfId="1" applyFont="1" applyAlignment="1">
      <alignment horizontal="left"/>
    </xf>
    <xf numFmtId="43" fontId="8" fillId="0" borderId="0" xfId="0" applyNumberFormat="1" applyFont="1"/>
    <xf numFmtId="43" fontId="6" fillId="0" borderId="0" xfId="1" applyFont="1"/>
    <xf numFmtId="43" fontId="6" fillId="0" borderId="0" xfId="0" applyNumberFormat="1" applyFont="1"/>
    <xf numFmtId="0" fontId="7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5" fillId="0" borderId="0" xfId="19" applyFont="1" applyAlignment="1" applyProtection="1">
      <alignment vertical="center"/>
      <protection locked="0"/>
    </xf>
    <xf numFmtId="168" fontId="6" fillId="0" borderId="0" xfId="1" applyNumberFormat="1" applyFont="1"/>
    <xf numFmtId="169" fontId="6" fillId="0" borderId="0" xfId="1" applyNumberFormat="1" applyFont="1"/>
    <xf numFmtId="169" fontId="6" fillId="0" borderId="0" xfId="0" applyNumberFormat="1" applyFont="1"/>
    <xf numFmtId="165" fontId="14" fillId="0" borderId="11" xfId="1" applyNumberFormat="1" applyFont="1" applyBorder="1" applyAlignment="1">
      <alignment horizontal="left" vertical="top" wrapText="1"/>
    </xf>
    <xf numFmtId="0" fontId="14" fillId="0" borderId="0" xfId="0" applyFont="1"/>
    <xf numFmtId="43" fontId="14" fillId="0" borderId="0" xfId="1" applyFont="1"/>
    <xf numFmtId="164" fontId="5" fillId="0" borderId="0" xfId="1" applyNumberFormat="1" applyFont="1" applyAlignment="1">
      <alignment vertical="top"/>
    </xf>
    <xf numFmtId="164" fontId="7" fillId="0" borderId="0" xfId="1" applyNumberFormat="1" applyFont="1" applyAlignment="1">
      <alignment horizontal="left" vertical="top" wrapText="1"/>
    </xf>
    <xf numFmtId="164" fontId="5" fillId="0" borderId="0" xfId="1" quotePrefix="1" applyNumberFormat="1" applyFont="1" applyAlignment="1">
      <alignment horizontal="right" vertical="top"/>
    </xf>
    <xf numFmtId="164" fontId="8" fillId="0" borderId="6" xfId="1" applyNumberFormat="1" applyFont="1" applyBorder="1"/>
    <xf numFmtId="169" fontId="14" fillId="0" borderId="0" xfId="1" applyNumberFormat="1" applyFont="1"/>
    <xf numFmtId="49" fontId="7" fillId="0" borderId="6" xfId="1" quotePrefix="1" applyNumberFormat="1" applyFont="1" applyBorder="1" applyAlignment="1">
      <alignment horizontal="left" vertical="top"/>
    </xf>
    <xf numFmtId="49" fontId="7" fillId="0" borderId="0" xfId="1" quotePrefix="1" applyNumberFormat="1" applyFont="1" applyAlignment="1">
      <alignment horizontal="left" vertical="top"/>
    </xf>
    <xf numFmtId="0" fontId="5" fillId="0" borderId="1" xfId="3" applyFont="1" applyBorder="1" applyAlignment="1">
      <alignment horizontal="centerContinuous" vertical="top"/>
    </xf>
    <xf numFmtId="49" fontId="5" fillId="0" borderId="0" xfId="1" applyNumberFormat="1" applyFont="1" applyAlignment="1">
      <alignment vertical="top"/>
    </xf>
    <xf numFmtId="49" fontId="5" fillId="0" borderId="0" xfId="1" applyNumberFormat="1" applyFont="1" applyAlignment="1">
      <alignment horizontal="left" vertical="top"/>
    </xf>
    <xf numFmtId="49" fontId="7" fillId="0" borderId="0" xfId="1" applyNumberFormat="1" applyFont="1" applyAlignment="1">
      <alignment horizontal="left"/>
    </xf>
    <xf numFmtId="49" fontId="5" fillId="0" borderId="6" xfId="1" applyNumberFormat="1" applyFont="1" applyBorder="1" applyAlignment="1">
      <alignment horizontal="left"/>
    </xf>
    <xf numFmtId="49" fontId="8" fillId="0" borderId="6" xfId="1" applyNumberFormat="1" applyFont="1" applyBorder="1"/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7" fillId="0" borderId="0" xfId="1" applyNumberFormat="1" applyFont="1" applyAlignment="1">
      <alignment horizontal="left" vertical="top" wrapText="1"/>
    </xf>
    <xf numFmtId="0" fontId="7" fillId="0" borderId="0" xfId="0" applyFont="1"/>
    <xf numFmtId="166" fontId="14" fillId="0" borderId="0" xfId="1" applyNumberFormat="1" applyFont="1"/>
    <xf numFmtId="49" fontId="8" fillId="0" borderId="0" xfId="1" applyNumberFormat="1" applyFont="1"/>
    <xf numFmtId="49" fontId="8" fillId="0" borderId="0" xfId="1" applyNumberFormat="1" applyFont="1" applyAlignment="1">
      <alignment vertical="center"/>
    </xf>
    <xf numFmtId="49" fontId="8" fillId="0" borderId="0" xfId="1" applyNumberFormat="1" applyFont="1" applyAlignment="1">
      <alignment vertical="top"/>
    </xf>
    <xf numFmtId="49" fontId="6" fillId="0" borderId="0" xfId="1" applyNumberFormat="1" applyFont="1" applyAlignment="1">
      <alignment vertical="top"/>
    </xf>
    <xf numFmtId="170" fontId="6" fillId="0" borderId="0" xfId="1" applyNumberFormat="1" applyFont="1"/>
    <xf numFmtId="170" fontId="8" fillId="0" borderId="0" xfId="1" applyNumberFormat="1" applyFont="1"/>
    <xf numFmtId="170" fontId="8" fillId="0" borderId="6" xfId="1" applyNumberFormat="1" applyFont="1" applyBorder="1"/>
    <xf numFmtId="170" fontId="8" fillId="0" borderId="1" xfId="1" applyNumberFormat="1" applyFont="1" applyBorder="1" applyAlignment="1">
      <alignment horizontal="center"/>
    </xf>
    <xf numFmtId="170" fontId="8" fillId="0" borderId="0" xfId="1" applyNumberFormat="1" applyFont="1" applyAlignment="1">
      <alignment horizontal="center"/>
    </xf>
    <xf numFmtId="170" fontId="8" fillId="0" borderId="7" xfId="1" applyNumberFormat="1" applyFont="1" applyBorder="1"/>
    <xf numFmtId="170" fontId="5" fillId="0" borderId="6" xfId="1" applyNumberFormat="1" applyFont="1" applyBorder="1"/>
    <xf numFmtId="170" fontId="5" fillId="0" borderId="0" xfId="1" applyNumberFormat="1" applyFont="1" applyAlignment="1">
      <alignment vertical="top"/>
    </xf>
    <xf numFmtId="170" fontId="8" fillId="0" borderId="0" xfId="1" applyNumberFormat="1" applyFont="1" applyAlignment="1">
      <alignment horizontal="left"/>
    </xf>
    <xf numFmtId="170" fontId="7" fillId="0" borderId="0" xfId="1" applyNumberFormat="1" applyFont="1" applyAlignment="1">
      <alignment vertical="top"/>
    </xf>
    <xf numFmtId="170" fontId="6" fillId="0" borderId="0" xfId="1" applyNumberFormat="1" applyFont="1" applyAlignment="1">
      <alignment horizontal="left"/>
    </xf>
    <xf numFmtId="170" fontId="5" fillId="0" borderId="7" xfId="1" applyNumberFormat="1" applyFont="1" applyBorder="1" applyAlignment="1">
      <alignment horizontal="center"/>
    </xf>
    <xf numFmtId="170" fontId="5" fillId="0" borderId="0" xfId="1" applyNumberFormat="1" applyFont="1" applyAlignment="1">
      <alignment horizontal="center"/>
    </xf>
    <xf numFmtId="170" fontId="8" fillId="0" borderId="0" xfId="1" applyNumberFormat="1" applyFont="1" applyAlignment="1">
      <alignment horizontal="right" vertical="top"/>
    </xf>
    <xf numFmtId="170" fontId="8" fillId="0" borderId="0" xfId="1" applyNumberFormat="1" applyFont="1" applyAlignment="1">
      <alignment horizontal="right" vertical="center"/>
    </xf>
    <xf numFmtId="170" fontId="8" fillId="0" borderId="6" xfId="1" applyNumberFormat="1" applyFont="1" applyBorder="1" applyAlignment="1">
      <alignment vertical="center"/>
    </xf>
    <xf numFmtId="170" fontId="8" fillId="0" borderId="7" xfId="1" applyNumberFormat="1" applyFont="1" applyBorder="1" applyAlignment="1">
      <alignment horizontal="right" vertical="center"/>
    </xf>
    <xf numFmtId="170" fontId="6" fillId="0" borderId="0" xfId="1" applyNumberFormat="1" applyFont="1" applyAlignment="1">
      <alignment horizontal="center"/>
    </xf>
    <xf numFmtId="170" fontId="7" fillId="0" borderId="0" xfId="1" applyNumberFormat="1" applyFont="1"/>
    <xf numFmtId="170" fontId="8" fillId="0" borderId="6" xfId="1" applyNumberFormat="1" applyFont="1" applyBorder="1" applyAlignment="1">
      <alignment vertical="top"/>
    </xf>
    <xf numFmtId="170" fontId="8" fillId="0" borderId="7" xfId="1" applyNumberFormat="1" applyFont="1" applyBorder="1" applyAlignment="1">
      <alignment horizontal="right"/>
    </xf>
    <xf numFmtId="170" fontId="8" fillId="0" borderId="3" xfId="1" applyNumberFormat="1" applyFont="1" applyBorder="1"/>
    <xf numFmtId="170" fontId="7" fillId="0" borderId="0" xfId="1" applyNumberFormat="1" applyFont="1" applyAlignment="1">
      <alignment horizontal="center"/>
    </xf>
    <xf numFmtId="170" fontId="6" fillId="0" borderId="0" xfId="1" applyNumberFormat="1" applyFont="1" applyAlignment="1">
      <alignment horizontal="right" vertical="top"/>
    </xf>
    <xf numFmtId="49" fontId="7" fillId="0" borderId="0" xfId="1" applyNumberFormat="1" applyFont="1" applyAlignment="1">
      <alignment horizontal="left" vertical="center"/>
    </xf>
    <xf numFmtId="0" fontId="5" fillId="0" borderId="0" xfId="1" applyNumberFormat="1" applyFont="1" applyAlignment="1">
      <alignment horizontal="left"/>
    </xf>
    <xf numFmtId="49" fontId="5" fillId="4" borderId="6" xfId="1" quotePrefix="1" applyNumberFormat="1" applyFont="1" applyFill="1" applyBorder="1" applyAlignment="1">
      <alignment horizontal="left" vertical="top"/>
    </xf>
    <xf numFmtId="49" fontId="5" fillId="4" borderId="6" xfId="3" applyNumberFormat="1" applyFont="1" applyFill="1" applyBorder="1" applyAlignment="1">
      <alignment horizontal="left" vertical="top"/>
    </xf>
    <xf numFmtId="49" fontId="5" fillId="4" borderId="3" xfId="3" applyNumberFormat="1" applyFont="1" applyFill="1" applyBorder="1" applyAlignment="1">
      <alignment horizontal="left" vertical="top"/>
    </xf>
    <xf numFmtId="49" fontId="5" fillId="4" borderId="3" xfId="1" applyNumberFormat="1" applyFont="1" applyFill="1" applyBorder="1" applyAlignment="1">
      <alignment vertical="top"/>
    </xf>
    <xf numFmtId="164" fontId="5" fillId="4" borderId="3" xfId="1" applyNumberFormat="1" applyFont="1" applyFill="1" applyBorder="1"/>
    <xf numFmtId="0" fontId="8" fillId="4" borderId="7" xfId="0" applyFont="1" applyFill="1" applyBorder="1"/>
    <xf numFmtId="0" fontId="8" fillId="4" borderId="7" xfId="1" applyNumberFormat="1" applyFont="1" applyFill="1" applyBorder="1" applyAlignment="1">
      <alignment horizontal="left"/>
    </xf>
    <xf numFmtId="0" fontId="8" fillId="4" borderId="6" xfId="0" applyFont="1" applyFill="1" applyBorder="1"/>
    <xf numFmtId="0" fontId="8" fillId="4" borderId="8" xfId="0" applyFont="1" applyFill="1" applyBorder="1"/>
    <xf numFmtId="9" fontId="6" fillId="0" borderId="0" xfId="1" applyNumberFormat="1" applyFont="1"/>
    <xf numFmtId="43" fontId="11" fillId="0" borderId="0" xfId="1" applyFont="1"/>
    <xf numFmtId="164" fontId="16" fillId="0" borderId="0" xfId="1" applyNumberFormat="1" applyFont="1" applyAlignment="1">
      <alignment horizontal="left"/>
    </xf>
    <xf numFmtId="167" fontId="6" fillId="0" borderId="0" xfId="0" applyNumberFormat="1" applyFont="1"/>
    <xf numFmtId="0" fontId="6" fillId="0" borderId="0" xfId="0" applyFont="1" applyAlignment="1">
      <alignment horizontal="right"/>
    </xf>
    <xf numFmtId="49" fontId="18" fillId="0" borderId="0" xfId="1" quotePrefix="1" applyNumberFormat="1" applyFont="1" applyAlignment="1">
      <alignment horizontal="left" vertical="top"/>
    </xf>
    <xf numFmtId="49" fontId="8" fillId="0" borderId="1" xfId="1" applyNumberFormat="1" applyFont="1" applyBorder="1"/>
    <xf numFmtId="49" fontId="8" fillId="0" borderId="7" xfId="1" applyNumberFormat="1" applyFont="1" applyBorder="1"/>
    <xf numFmtId="49" fontId="5" fillId="0" borderId="6" xfId="1" applyNumberFormat="1" applyFont="1" applyBorder="1"/>
    <xf numFmtId="49" fontId="7" fillId="0" borderId="0" xfId="1" applyNumberFormat="1" applyFont="1" applyAlignment="1">
      <alignment vertical="top"/>
    </xf>
    <xf numFmtId="49" fontId="7" fillId="0" borderId="0" xfId="1" applyNumberFormat="1" applyFont="1" applyAlignment="1">
      <alignment horizontal="left" vertical="top" indent="1"/>
    </xf>
    <xf numFmtId="49" fontId="8" fillId="0" borderId="7" xfId="1" applyNumberFormat="1" applyFont="1" applyBorder="1" applyAlignment="1">
      <alignment vertical="center"/>
    </xf>
    <xf numFmtId="49" fontId="8" fillId="0" borderId="6" xfId="1" applyNumberFormat="1" applyFont="1" applyBorder="1" applyAlignment="1">
      <alignment vertical="center"/>
    </xf>
    <xf numFmtId="49" fontId="8" fillId="0" borderId="7" xfId="1" applyNumberFormat="1" applyFont="1" applyBorder="1" applyAlignment="1">
      <alignment vertical="top"/>
    </xf>
    <xf numFmtId="49" fontId="6" fillId="0" borderId="6" xfId="1" applyNumberFormat="1" applyFont="1" applyBorder="1" applyAlignment="1">
      <alignment vertical="center"/>
    </xf>
    <xf numFmtId="49" fontId="6" fillId="0" borderId="1" xfId="1" applyNumberFormat="1" applyFont="1" applyBorder="1" applyAlignment="1">
      <alignment vertical="center"/>
    </xf>
    <xf numFmtId="49" fontId="8" fillId="0" borderId="1" xfId="1" applyNumberFormat="1" applyFont="1" applyBorder="1" applyAlignment="1">
      <alignment vertical="top"/>
    </xf>
    <xf numFmtId="49" fontId="7" fillId="0" borderId="0" xfId="1" applyNumberFormat="1" applyFont="1" applyAlignment="1">
      <alignment horizontal="left" indent="1"/>
    </xf>
    <xf numFmtId="49" fontId="7" fillId="0" borderId="6" xfId="1" applyNumberFormat="1" applyFont="1" applyBorder="1" applyAlignment="1">
      <alignment vertical="top"/>
    </xf>
    <xf numFmtId="49" fontId="8" fillId="0" borderId="6" xfId="1" applyNumberFormat="1" applyFont="1" applyBorder="1" applyAlignment="1">
      <alignment vertical="top"/>
    </xf>
    <xf numFmtId="49" fontId="7" fillId="0" borderId="0" xfId="1" applyNumberFormat="1" applyFont="1" applyAlignment="1">
      <alignment vertical="top" wrapText="1"/>
    </xf>
    <xf numFmtId="49" fontId="8" fillId="0" borderId="3" xfId="1" applyNumberFormat="1" applyFont="1" applyBorder="1"/>
    <xf numFmtId="49" fontId="6" fillId="0" borderId="0" xfId="1" applyNumberFormat="1" applyFont="1" applyAlignment="1">
      <alignment horizontal="left" vertical="top" indent="1"/>
    </xf>
    <xf numFmtId="49" fontId="6" fillId="0" borderId="6" xfId="1" applyNumberFormat="1" applyFont="1" applyBorder="1" applyAlignment="1">
      <alignment vertical="top"/>
    </xf>
    <xf numFmtId="49" fontId="7" fillId="0" borderId="0" xfId="1" applyNumberFormat="1" applyFont="1" applyAlignment="1">
      <alignment horizontal="left" vertical="top" indent="2"/>
    </xf>
    <xf numFmtId="0" fontId="13" fillId="3" borderId="1" xfId="1" applyNumberFormat="1" applyFont="1" applyFill="1" applyBorder="1" applyAlignment="1">
      <alignment horizontal="left" vertical="center" wrapText="1"/>
    </xf>
    <xf numFmtId="165" fontId="13" fillId="3" borderId="1" xfId="1" applyNumberFormat="1" applyFont="1" applyFill="1" applyBorder="1" applyAlignment="1">
      <alignment horizontal="center" vertical="center" wrapText="1"/>
    </xf>
    <xf numFmtId="0" fontId="8" fillId="4" borderId="3" xfId="0" applyFont="1" applyFill="1" applyBorder="1"/>
    <xf numFmtId="168" fontId="8" fillId="4" borderId="3" xfId="1" applyNumberFormat="1" applyFont="1" applyFill="1" applyBorder="1"/>
    <xf numFmtId="166" fontId="5" fillId="0" borderId="0" xfId="4" applyFont="1" applyAlignment="1">
      <alignment horizontal="left"/>
    </xf>
    <xf numFmtId="166" fontId="5" fillId="0" borderId="0" xfId="4" applyFont="1" applyAlignment="1">
      <alignment vertical="top"/>
    </xf>
    <xf numFmtId="0" fontId="13" fillId="3" borderId="1" xfId="0" applyFont="1" applyFill="1" applyBorder="1" applyAlignment="1">
      <alignment horizontal="left" vertical="center"/>
    </xf>
    <xf numFmtId="169" fontId="13" fillId="3" borderId="1" xfId="1" applyNumberFormat="1" applyFont="1" applyFill="1" applyBorder="1" applyAlignment="1">
      <alignment horizontal="center"/>
    </xf>
    <xf numFmtId="49" fontId="13" fillId="3" borderId="0" xfId="1" applyNumberFormat="1" applyFont="1" applyFill="1" applyAlignment="1">
      <alignment horizontal="left" vertical="top"/>
    </xf>
    <xf numFmtId="164" fontId="13" fillId="3" borderId="0" xfId="1" quotePrefix="1" applyNumberFormat="1" applyFont="1" applyFill="1" applyAlignment="1">
      <alignment horizontal="center"/>
    </xf>
    <xf numFmtId="171" fontId="6" fillId="0" borderId="0" xfId="1" applyNumberFormat="1" applyFont="1"/>
    <xf numFmtId="171" fontId="8" fillId="0" borderId="6" xfId="1" applyNumberFormat="1" applyFont="1" applyBorder="1" applyAlignment="1">
      <alignment horizontal="right"/>
    </xf>
    <xf numFmtId="171" fontId="8" fillId="4" borderId="7" xfId="1" applyNumberFormat="1" applyFont="1" applyFill="1" applyBorder="1" applyAlignment="1">
      <alignment horizontal="right"/>
    </xf>
    <xf numFmtId="171" fontId="6" fillId="0" borderId="0" xfId="1" applyNumberFormat="1" applyFont="1" applyAlignment="1">
      <alignment horizontal="right"/>
    </xf>
    <xf numFmtId="171" fontId="8" fillId="4" borderId="0" xfId="1" applyNumberFormat="1" applyFont="1" applyFill="1" applyAlignment="1">
      <alignment horizontal="right"/>
    </xf>
    <xf numFmtId="171" fontId="8" fillId="4" borderId="8" xfId="1" applyNumberFormat="1" applyFont="1" applyFill="1" applyBorder="1" applyAlignment="1">
      <alignment horizontal="right"/>
    </xf>
    <xf numFmtId="49" fontId="19" fillId="0" borderId="6" xfId="1" applyNumberFormat="1" applyFont="1" applyBorder="1" applyAlignment="1">
      <alignment horizontal="left"/>
    </xf>
    <xf numFmtId="164" fontId="19" fillId="0" borderId="6" xfId="1" applyNumberFormat="1" applyFont="1" applyBorder="1" applyAlignment="1">
      <alignment horizontal="left"/>
    </xf>
    <xf numFmtId="49" fontId="20" fillId="0" borderId="7" xfId="1" applyNumberFormat="1" applyFont="1" applyBorder="1"/>
    <xf numFmtId="164" fontId="20" fillId="0" borderId="7" xfId="1" applyNumberFormat="1" applyFont="1" applyBorder="1"/>
    <xf numFmtId="49" fontId="6" fillId="0" borderId="0" xfId="1" applyNumberFormat="1" applyFont="1" applyAlignment="1">
      <alignment horizontal="left" vertical="center"/>
    </xf>
    <xf numFmtId="170" fontId="6" fillId="0" borderId="0" xfId="1" applyNumberFormat="1" applyFont="1" applyAlignment="1">
      <alignment horizontal="left" vertical="center"/>
    </xf>
    <xf numFmtId="49" fontId="6" fillId="0" borderId="1" xfId="1" applyNumberFormat="1" applyFont="1" applyBorder="1" applyAlignment="1">
      <alignment horizontal="left" vertical="center"/>
    </xf>
    <xf numFmtId="170" fontId="6" fillId="0" borderId="0" xfId="1" applyNumberFormat="1" applyFont="1" applyAlignment="1">
      <alignment horizontal="center" vertical="center"/>
    </xf>
    <xf numFmtId="49" fontId="21" fillId="0" borderId="6" xfId="1" applyNumberFormat="1" applyFont="1" applyBorder="1" applyAlignment="1">
      <alignment vertical="top"/>
    </xf>
    <xf numFmtId="49" fontId="21" fillId="0" borderId="0" xfId="1" applyNumberFormat="1" applyFont="1" applyAlignment="1">
      <alignment vertical="top"/>
    </xf>
    <xf numFmtId="49" fontId="6" fillId="0" borderId="0" xfId="1" applyNumberFormat="1" applyFont="1" applyAlignment="1">
      <alignment horizontal="left" vertical="top"/>
    </xf>
    <xf numFmtId="49" fontId="22" fillId="0" borderId="0" xfId="3" applyNumberFormat="1" applyFont="1" applyAlignment="1">
      <alignment horizontal="left" vertical="top"/>
    </xf>
    <xf numFmtId="170" fontId="8" fillId="0" borderId="0" xfId="1" applyNumberFormat="1" applyFont="1" applyAlignment="1">
      <alignment horizontal="right"/>
    </xf>
    <xf numFmtId="164" fontId="7" fillId="0" borderId="4" xfId="1" applyNumberFormat="1" applyFont="1" applyBorder="1" applyAlignment="1">
      <alignment horizontal="left" vertical="top" wrapText="1"/>
    </xf>
    <xf numFmtId="164" fontId="7" fillId="0" borderId="0" xfId="1" applyNumberFormat="1" applyFont="1" applyAlignment="1">
      <alignment horizontal="left" vertical="top"/>
    </xf>
    <xf numFmtId="9" fontId="5" fillId="0" borderId="0" xfId="3" applyNumberFormat="1" applyFont="1" applyAlignment="1">
      <alignment horizontal="centerContinuous" vertical="top"/>
    </xf>
    <xf numFmtId="9" fontId="5" fillId="0" borderId="4" xfId="3" applyNumberFormat="1" applyFont="1" applyBorder="1" applyAlignment="1">
      <alignment horizontal="centerContinuous" vertical="top"/>
    </xf>
    <xf numFmtId="0" fontId="6" fillId="0" borderId="0" xfId="0" applyFont="1" applyAlignment="1">
      <alignment vertical="top"/>
    </xf>
    <xf numFmtId="164" fontId="6" fillId="0" borderId="0" xfId="1" applyNumberFormat="1" applyFont="1" applyAlignment="1">
      <alignment vertical="top"/>
    </xf>
    <xf numFmtId="164" fontId="5" fillId="0" borderId="0" xfId="1" applyNumberFormat="1" applyFont="1" applyAlignment="1">
      <alignment horizontal="left" vertical="top"/>
    </xf>
    <xf numFmtId="9" fontId="6" fillId="0" borderId="0" xfId="1" applyNumberFormat="1" applyFont="1" applyAlignment="1">
      <alignment vertical="top"/>
    </xf>
    <xf numFmtId="0" fontId="8" fillId="0" borderId="10" xfId="0" applyFont="1" applyBorder="1" applyAlignment="1">
      <alignment vertical="top"/>
    </xf>
    <xf numFmtId="9" fontId="8" fillId="0" borderId="0" xfId="1" applyNumberFormat="1" applyFont="1" applyAlignment="1">
      <alignment horizontal="centerContinuous" vertical="top"/>
    </xf>
    <xf numFmtId="9" fontId="6" fillId="0" borderId="0" xfId="0" applyNumberFormat="1" applyFont="1" applyAlignment="1">
      <alignment horizontal="centerContinuous" vertical="top"/>
    </xf>
    <xf numFmtId="165" fontId="8" fillId="0" borderId="0" xfId="1" applyNumberFormat="1" applyFont="1" applyAlignment="1">
      <alignment horizontal="centerContinuous" vertical="top"/>
    </xf>
    <xf numFmtId="0" fontId="8" fillId="0" borderId="0" xfId="0" applyFont="1" applyAlignment="1">
      <alignment horizontal="centerContinuous" vertical="top"/>
    </xf>
    <xf numFmtId="49" fontId="13" fillId="3" borderId="7" xfId="3" applyNumberFormat="1" applyFont="1" applyFill="1" applyBorder="1" applyAlignment="1">
      <alignment vertical="top"/>
    </xf>
    <xf numFmtId="164" fontId="13" fillId="3" borderId="0" xfId="1" quotePrefix="1" applyNumberFormat="1" applyFont="1" applyFill="1" applyAlignment="1">
      <alignment horizontal="right" vertical="top"/>
    </xf>
    <xf numFmtId="164" fontId="13" fillId="3" borderId="4" xfId="1" quotePrefix="1" applyNumberFormat="1" applyFont="1" applyFill="1" applyBorder="1" applyAlignment="1">
      <alignment horizontal="right" vertical="top"/>
    </xf>
    <xf numFmtId="9" fontId="13" fillId="3" borderId="0" xfId="1" applyNumberFormat="1" applyFont="1" applyFill="1" applyAlignment="1">
      <alignment horizontal="center" vertical="top"/>
    </xf>
    <xf numFmtId="9" fontId="13" fillId="3" borderId="6" xfId="1" applyNumberFormat="1" applyFont="1" applyFill="1" applyBorder="1" applyAlignment="1">
      <alignment horizontal="center" vertical="top"/>
    </xf>
    <xf numFmtId="9" fontId="13" fillId="3" borderId="4" xfId="1" applyNumberFormat="1" applyFont="1" applyFill="1" applyBorder="1" applyAlignment="1">
      <alignment horizontal="center" vertical="top"/>
    </xf>
    <xf numFmtId="165" fontId="13" fillId="3" borderId="6" xfId="3" applyNumberFormat="1" applyFont="1" applyFill="1" applyBorder="1" applyAlignment="1">
      <alignment horizontal="center" vertical="top"/>
    </xf>
    <xf numFmtId="165" fontId="6" fillId="0" borderId="0" xfId="1" applyNumberFormat="1" applyFont="1" applyAlignment="1">
      <alignment vertical="top"/>
    </xf>
    <xf numFmtId="172" fontId="6" fillId="0" borderId="0" xfId="1" applyNumberFormat="1" applyFont="1" applyAlignment="1">
      <alignment vertical="top"/>
    </xf>
    <xf numFmtId="0" fontId="14" fillId="0" borderId="11" xfId="0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164" fontId="6" fillId="0" borderId="0" xfId="1" applyNumberFormat="1" applyFont="1" applyAlignment="1">
      <alignment horizontal="right" vertical="top"/>
    </xf>
    <xf numFmtId="164" fontId="6" fillId="0" borderId="1" xfId="1" applyNumberFormat="1" applyFont="1" applyBorder="1" applyAlignment="1">
      <alignment horizontal="right" vertical="top"/>
    </xf>
    <xf numFmtId="164" fontId="6" fillId="0" borderId="2" xfId="1" applyNumberFormat="1" applyFont="1" applyBorder="1" applyAlignment="1">
      <alignment horizontal="right" vertical="top"/>
    </xf>
    <xf numFmtId="9" fontId="6" fillId="0" borderId="0" xfId="2" applyFont="1" applyAlignment="1">
      <alignment horizontal="right" vertical="top"/>
    </xf>
    <xf numFmtId="9" fontId="6" fillId="0" borderId="2" xfId="2" applyFont="1" applyBorder="1" applyAlignment="1">
      <alignment horizontal="right" vertical="top"/>
    </xf>
    <xf numFmtId="165" fontId="6" fillId="0" borderId="0" xfId="1" applyNumberFormat="1" applyFont="1" applyAlignment="1">
      <alignment horizontal="right" vertical="top"/>
    </xf>
    <xf numFmtId="164" fontId="5" fillId="4" borderId="6" xfId="1" quotePrefix="1" applyNumberFormat="1" applyFont="1" applyFill="1" applyBorder="1" applyAlignment="1">
      <alignment horizontal="right" vertical="top"/>
    </xf>
    <xf numFmtId="164" fontId="5" fillId="4" borderId="5" xfId="1" quotePrefix="1" applyNumberFormat="1" applyFont="1" applyFill="1" applyBorder="1" applyAlignment="1">
      <alignment horizontal="right" vertical="top"/>
    </xf>
    <xf numFmtId="9" fontId="8" fillId="4" borderId="6" xfId="2" applyFont="1" applyFill="1" applyBorder="1" applyAlignment="1">
      <alignment horizontal="right" vertical="top"/>
    </xf>
    <xf numFmtId="9" fontId="8" fillId="4" borderId="5" xfId="2" applyFont="1" applyFill="1" applyBorder="1" applyAlignment="1">
      <alignment horizontal="right" vertical="top"/>
    </xf>
    <xf numFmtId="0" fontId="14" fillId="0" borderId="12" xfId="0" applyFont="1" applyBorder="1" applyAlignment="1">
      <alignment vertical="top"/>
    </xf>
    <xf numFmtId="0" fontId="17" fillId="0" borderId="0" xfId="0" applyFont="1" applyAlignment="1">
      <alignment vertical="top"/>
    </xf>
    <xf numFmtId="9" fontId="17" fillId="0" borderId="0" xfId="2" applyFont="1" applyAlignment="1">
      <alignment horizontal="right" vertical="top"/>
    </xf>
    <xf numFmtId="9" fontId="17" fillId="0" borderId="4" xfId="2" applyFont="1" applyBorder="1" applyAlignment="1">
      <alignment horizontal="right" vertical="top"/>
    </xf>
    <xf numFmtId="165" fontId="17" fillId="0" borderId="0" xfId="0" applyNumberFormat="1" applyFont="1" applyAlignment="1">
      <alignment vertical="top"/>
    </xf>
    <xf numFmtId="164" fontId="6" fillId="0" borderId="4" xfId="1" applyNumberFormat="1" applyFont="1" applyBorder="1" applyAlignment="1">
      <alignment horizontal="right" vertical="top"/>
    </xf>
    <xf numFmtId="9" fontId="6" fillId="0" borderId="4" xfId="2" applyFont="1" applyBorder="1" applyAlignment="1">
      <alignment horizontal="right" vertical="top"/>
    </xf>
    <xf numFmtId="49" fontId="8" fillId="4" borderId="6" xfId="0" applyNumberFormat="1" applyFont="1" applyFill="1" applyBorder="1" applyAlignment="1">
      <alignment vertical="top"/>
    </xf>
    <xf numFmtId="164" fontId="8" fillId="4" borderId="6" xfId="1" applyNumberFormat="1" applyFont="1" applyFill="1" applyBorder="1" applyAlignment="1">
      <alignment horizontal="right" vertical="top"/>
    </xf>
    <xf numFmtId="164" fontId="8" fillId="4" borderId="5" xfId="1" applyNumberFormat="1" applyFont="1" applyFill="1" applyBorder="1" applyAlignment="1">
      <alignment horizontal="right" vertical="top"/>
    </xf>
    <xf numFmtId="173" fontId="6" fillId="0" borderId="0" xfId="0" applyNumberFormat="1" applyFont="1" applyAlignment="1">
      <alignment vertical="top"/>
    </xf>
    <xf numFmtId="174" fontId="6" fillId="0" borderId="0" xfId="0" applyNumberFormat="1" applyFont="1" applyAlignment="1">
      <alignment vertical="top"/>
    </xf>
    <xf numFmtId="164" fontId="5" fillId="4" borderId="6" xfId="1" applyNumberFormat="1" applyFont="1" applyFill="1" applyBorder="1" applyAlignment="1">
      <alignment horizontal="right" vertical="top"/>
    </xf>
    <xf numFmtId="164" fontId="5" fillId="4" borderId="5" xfId="1" applyNumberFormat="1" applyFont="1" applyFill="1" applyBorder="1" applyAlignment="1">
      <alignment horizontal="right" vertical="top"/>
    </xf>
    <xf numFmtId="9" fontId="6" fillId="0" borderId="1" xfId="2" applyFont="1" applyBorder="1" applyAlignment="1">
      <alignment horizontal="right" vertical="top"/>
    </xf>
    <xf numFmtId="164" fontId="7" fillId="0" borderId="2" xfId="1" applyNumberFormat="1" applyFont="1" applyBorder="1" applyAlignment="1">
      <alignment horizontal="right" vertical="top"/>
    </xf>
    <xf numFmtId="164" fontId="5" fillId="4" borderId="3" xfId="1" applyNumberFormat="1" applyFont="1" applyFill="1" applyBorder="1" applyAlignment="1">
      <alignment horizontal="right" vertical="top"/>
    </xf>
    <xf numFmtId="164" fontId="5" fillId="4" borderId="9" xfId="1" applyNumberFormat="1" applyFont="1" applyFill="1" applyBorder="1" applyAlignment="1">
      <alignment horizontal="right" vertical="top"/>
    </xf>
    <xf numFmtId="9" fontId="8" fillId="4" borderId="3" xfId="2" applyFont="1" applyFill="1" applyBorder="1" applyAlignment="1">
      <alignment horizontal="right" vertical="top"/>
    </xf>
    <xf numFmtId="9" fontId="8" fillId="4" borderId="9" xfId="2" applyFont="1" applyFill="1" applyBorder="1" applyAlignment="1">
      <alignment horizontal="right" vertical="top"/>
    </xf>
    <xf numFmtId="0" fontId="11" fillId="0" borderId="0" xfId="0" applyFont="1" applyAlignment="1">
      <alignment vertical="top"/>
    </xf>
    <xf numFmtId="164" fontId="11" fillId="0" borderId="0" xfId="1" applyNumberFormat="1" applyFont="1" applyAlignment="1">
      <alignment vertical="top"/>
    </xf>
    <xf numFmtId="9" fontId="11" fillId="0" borderId="0" xfId="0" applyNumberFormat="1" applyFont="1" applyAlignment="1">
      <alignment vertical="top"/>
    </xf>
    <xf numFmtId="9" fontId="6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164" fontId="15" fillId="0" borderId="0" xfId="1" applyNumberFormat="1" applyFont="1" applyAlignment="1">
      <alignment vertical="top"/>
    </xf>
    <xf numFmtId="9" fontId="17" fillId="0" borderId="13" xfId="2" applyFont="1" applyBorder="1" applyAlignment="1">
      <alignment horizontal="right" vertical="top"/>
    </xf>
    <xf numFmtId="49" fontId="7" fillId="0" borderId="0" xfId="1" quotePrefix="1" applyNumberFormat="1" applyFont="1" applyAlignment="1">
      <alignment horizontal="left" vertical="top" indent="1"/>
    </xf>
    <xf numFmtId="164" fontId="7" fillId="0" borderId="1" xfId="1" applyNumberFormat="1" applyFont="1" applyBorder="1" applyAlignment="1">
      <alignment horizontal="right" vertical="top"/>
    </xf>
    <xf numFmtId="49" fontId="2" fillId="0" borderId="0" xfId="1" applyNumberFormat="1" applyFont="1" applyAlignment="1">
      <alignment horizontal="left" indent="1"/>
    </xf>
    <xf numFmtId="49" fontId="2" fillId="0" borderId="0" xfId="1" applyNumberFormat="1" applyFont="1" applyAlignment="1">
      <alignment vertical="top"/>
    </xf>
    <xf numFmtId="49" fontId="1" fillId="0" borderId="0" xfId="1" applyNumberFormat="1" applyFont="1" applyAlignment="1">
      <alignment horizontal="left" vertical="top" indent="1"/>
    </xf>
    <xf numFmtId="165" fontId="23" fillId="0" borderId="0" xfId="1" applyNumberFormat="1" applyFont="1"/>
    <xf numFmtId="165" fontId="23" fillId="0" borderId="0" xfId="1" applyNumberFormat="1" applyFont="1" applyAlignment="1">
      <alignment horizontal="right"/>
    </xf>
    <xf numFmtId="49" fontId="24" fillId="0" borderId="6" xfId="1" applyNumberFormat="1" applyFont="1" applyBorder="1"/>
    <xf numFmtId="170" fontId="23" fillId="0" borderId="6" xfId="1" applyNumberFormat="1" applyFont="1" applyBorder="1"/>
    <xf numFmtId="170" fontId="23" fillId="0" borderId="0" xfId="1" applyNumberFormat="1" applyFont="1" applyAlignment="1">
      <alignment horizontal="center"/>
    </xf>
    <xf numFmtId="49" fontId="24" fillId="0" borderId="0" xfId="1" applyNumberFormat="1" applyFont="1" applyAlignment="1">
      <alignment horizontal="left"/>
    </xf>
    <xf numFmtId="170" fontId="23" fillId="0" borderId="0" xfId="1" applyNumberFormat="1" applyFont="1"/>
    <xf numFmtId="49" fontId="25" fillId="0" borderId="0" xfId="1" applyNumberFormat="1" applyFont="1" applyAlignment="1">
      <alignment horizontal="left" vertical="top"/>
    </xf>
    <xf numFmtId="9" fontId="23" fillId="0" borderId="0" xfId="1" applyNumberFormat="1" applyFont="1"/>
    <xf numFmtId="9" fontId="6" fillId="0" borderId="0" xfId="2" applyFont="1"/>
    <xf numFmtId="9" fontId="7" fillId="0" borderId="0" xfId="2" applyFont="1" applyAlignment="1">
      <alignment vertical="top"/>
    </xf>
    <xf numFmtId="9" fontId="23" fillId="0" borderId="0" xfId="2" applyFont="1" applyAlignment="1">
      <alignment horizontal="centerContinuous"/>
    </xf>
    <xf numFmtId="9" fontId="6" fillId="0" borderId="0" xfId="2" applyFont="1" applyAlignment="1">
      <alignment horizontal="centerContinuous"/>
    </xf>
    <xf numFmtId="9" fontId="8" fillId="0" borderId="1" xfId="2" applyFont="1" applyBorder="1" applyAlignment="1">
      <alignment horizontal="center"/>
    </xf>
    <xf numFmtId="9" fontId="23" fillId="0" borderId="0" xfId="2" applyFont="1"/>
    <xf numFmtId="9" fontId="8" fillId="0" borderId="7" xfId="2" applyFont="1" applyBorder="1"/>
  </cellXfs>
  <cellStyles count="24">
    <cellStyle name="Brand Default_Book16" xfId="4" xr:uid="{00000000-0005-0000-0000-000004000000}"/>
    <cellStyle name="Comma" xfId="1" builtinId="3"/>
    <cellStyle name="Comma 2" xfId="5" xr:uid="{00000000-0005-0000-0000-000005000000}"/>
    <cellStyle name="Comma 2 2" xfId="7" xr:uid="{00000000-0005-0000-0000-000007000000}"/>
    <cellStyle name="Comma 2 2 2" xfId="8" xr:uid="{00000000-0005-0000-0000-000008000000}"/>
    <cellStyle name="Comma 2 3" xfId="6" xr:uid="{00000000-0005-0000-0000-000006000000}"/>
    <cellStyle name="Comma 2 4" xfId="18" xr:uid="{00000000-0005-0000-0000-000012000000}"/>
    <cellStyle name="Comma 3" xfId="9" xr:uid="{00000000-0005-0000-0000-000009000000}"/>
    <cellStyle name="Comma 4" xfId="10" xr:uid="{00000000-0005-0000-0000-00000A000000}"/>
    <cellStyle name="Comma 5" xfId="17" xr:uid="{00000000-0005-0000-0000-000011000000}"/>
    <cellStyle name="Comma 5 2" xfId="16" xr:uid="{00000000-0005-0000-0000-000010000000}"/>
    <cellStyle name="Comma 6" xfId="22" xr:uid="{00000000-0005-0000-0000-000016000000}"/>
    <cellStyle name="Currency 2" xfId="21" xr:uid="{00000000-0005-0000-0000-000015000000}"/>
    <cellStyle name="Hyperlink 2" xfId="11" xr:uid="{00000000-0005-0000-0000-00000B000000}"/>
    <cellStyle name="Normal" xfId="0" builtinId="0"/>
    <cellStyle name="Normal 2" xfId="3" xr:uid="{00000000-0005-0000-0000-000003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3" xfId="20" xr:uid="{00000000-0005-0000-0000-000014000000}"/>
    <cellStyle name="Normal 4" xfId="15" xr:uid="{00000000-0005-0000-0000-00000F000000}"/>
    <cellStyle name="Normal_Databook Template 3" xfId="19" xr:uid="{00000000-0005-0000-0000-000013000000}"/>
    <cellStyle name="Percent" xfId="2" builtinId="5"/>
    <cellStyle name="Percent 2" xfId="23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I25"/>
  <sheetViews>
    <sheetView showGridLines="0" zoomScale="75" zoomScaleNormal="108" workbookViewId="0">
      <selection activeCell="D22" sqref="D22"/>
    </sheetView>
  </sheetViews>
  <sheetFormatPr defaultColWidth="8.81640625" defaultRowHeight="16" outlineLevelRow="1" outlineLevelCol="1"/>
  <cols>
    <col min="1" max="1" width="2.81640625" style="154" customWidth="1"/>
    <col min="2" max="2" width="36.36328125" style="154" bestFit="1" customWidth="1"/>
    <col min="3" max="3" width="7.81640625" style="155" bestFit="1" customWidth="1"/>
    <col min="4" max="5" width="6.81640625" style="155" bestFit="1" customWidth="1"/>
    <col min="6" max="6" width="6.90625" style="155" bestFit="1" customWidth="1"/>
    <col min="7" max="7" width="6.90625" style="155" customWidth="1"/>
    <col min="8" max="11" width="7.1796875" style="207" bestFit="1" customWidth="1"/>
    <col min="12" max="12" width="7.1796875" style="207" customWidth="1"/>
    <col min="13" max="13" width="7.453125" style="154" customWidth="1" outlineLevel="1"/>
    <col min="14" max="14" width="7.81640625" style="154" customWidth="1" outlineLevel="1"/>
    <col min="15" max="15" width="7.6328125" style="154" customWidth="1" outlineLevel="1"/>
    <col min="16" max="16" width="7.1796875" style="154" bestFit="1" customWidth="1"/>
    <col min="17" max="20" width="6.453125" style="154" customWidth="1"/>
    <col min="21" max="21" width="7.6328125" style="154" customWidth="1"/>
    <col min="22" max="33" width="6.453125" style="154" customWidth="1"/>
    <col min="34" max="34" width="10.36328125" style="154" bestFit="1" customWidth="1"/>
    <col min="35" max="35" width="18.81640625" style="154" bestFit="1" customWidth="1"/>
    <col min="36" max="36" width="8.81640625" style="154" customWidth="1"/>
    <col min="37" max="16384" width="8.81640625" style="154"/>
  </cols>
  <sheetData>
    <row r="2" spans="1:35">
      <c r="B2" s="2" t="s">
        <v>29</v>
      </c>
      <c r="D2" s="156"/>
      <c r="E2" s="156"/>
      <c r="F2" s="156"/>
      <c r="G2" s="156"/>
      <c r="H2" s="157"/>
      <c r="I2" s="157"/>
      <c r="J2" s="157"/>
      <c r="K2" s="157"/>
      <c r="L2" s="157"/>
      <c r="M2" s="155"/>
    </row>
    <row r="3" spans="1:35">
      <c r="A3" s="154" t="s">
        <v>30</v>
      </c>
      <c r="B3" s="2" t="s">
        <v>31</v>
      </c>
      <c r="D3" s="156"/>
      <c r="E3" s="156"/>
      <c r="F3" s="156"/>
      <c r="G3" s="156"/>
      <c r="H3" s="157"/>
      <c r="I3" s="157"/>
      <c r="J3" s="157"/>
      <c r="K3" s="157"/>
      <c r="L3" s="157"/>
      <c r="M3" s="155"/>
      <c r="AI3" s="158" t="s">
        <v>32</v>
      </c>
    </row>
    <row r="4" spans="1:35">
      <c r="B4" s="3" t="s">
        <v>33</v>
      </c>
      <c r="D4" s="40"/>
      <c r="E4" s="40"/>
      <c r="F4" s="40"/>
      <c r="G4" s="150"/>
      <c r="H4" s="159" t="s">
        <v>34</v>
      </c>
      <c r="I4" s="160"/>
      <c r="J4" s="152"/>
      <c r="K4" s="152"/>
      <c r="L4" s="153"/>
      <c r="M4" s="161" t="s">
        <v>35</v>
      </c>
      <c r="N4" s="46"/>
      <c r="O4" s="162"/>
      <c r="AI4" s="36">
        <f t="array" ref="AI4">_xlfn.IFS(B4="INR",10^0,B4="INR lakhs",10^5,B4="INR million",10^6)</f>
        <v>1000000</v>
      </c>
    </row>
    <row r="5" spans="1:35">
      <c r="B5" s="163" t="s">
        <v>1</v>
      </c>
      <c r="C5" s="164" t="s">
        <v>36</v>
      </c>
      <c r="D5" s="164" t="s">
        <v>37</v>
      </c>
      <c r="E5" s="164" t="s">
        <v>38</v>
      </c>
      <c r="F5" s="164" t="s">
        <v>39</v>
      </c>
      <c r="G5" s="165" t="s">
        <v>40</v>
      </c>
      <c r="H5" s="166" t="str">
        <f>C5</f>
        <v>FY22</v>
      </c>
      <c r="I5" s="166" t="str">
        <f>D5</f>
        <v>FY23</v>
      </c>
      <c r="J5" s="167" t="str">
        <f>E5</f>
        <v>FY24</v>
      </c>
      <c r="K5" s="166" t="str">
        <f>F5</f>
        <v>FY25</v>
      </c>
      <c r="L5" s="168" t="str">
        <f>G5</f>
        <v>FY26</v>
      </c>
      <c r="M5" s="169" t="str">
        <f>I5</f>
        <v>FY23</v>
      </c>
      <c r="N5" s="169" t="str">
        <f>J5</f>
        <v>FY24</v>
      </c>
      <c r="O5" s="169" t="str">
        <f>K5</f>
        <v>FY25</v>
      </c>
      <c r="P5" s="169" t="str">
        <f>L5</f>
        <v>FY26</v>
      </c>
      <c r="Q5" s="170"/>
      <c r="R5" s="170"/>
      <c r="S5" s="170"/>
      <c r="T5" s="170"/>
      <c r="U5" s="171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2" t="s">
        <v>41</v>
      </c>
      <c r="AI5" s="173"/>
    </row>
    <row r="6" spans="1:35">
      <c r="B6" s="44" t="s">
        <v>42</v>
      </c>
      <c r="C6" s="175">
        <f>((Sch.!C250))/(curr)</f>
        <v>0</v>
      </c>
      <c r="D6" s="175">
        <f>((Sch.!D250))/(curr)</f>
        <v>0</v>
      </c>
      <c r="E6" s="175">
        <f>((Sch.!E250))/(curr)</f>
        <v>0</v>
      </c>
      <c r="F6" s="175">
        <f>((Sch.!F250))/(curr)</f>
        <v>0</v>
      </c>
      <c r="G6" s="176">
        <f>((Sch.!G250))/(curr)</f>
        <v>0</v>
      </c>
      <c r="H6" s="177">
        <f t="shared" ref="H6:L7" si="0">IFERROR(C6/C$7,0)</f>
        <v>0</v>
      </c>
      <c r="I6" s="177">
        <f t="shared" si="0"/>
        <v>0</v>
      </c>
      <c r="J6" s="177">
        <f t="shared" si="0"/>
        <v>0</v>
      </c>
      <c r="K6" s="177">
        <f t="shared" si="0"/>
        <v>0</v>
      </c>
      <c r="L6" s="178">
        <f t="shared" si="0"/>
        <v>0</v>
      </c>
      <c r="M6" s="177">
        <f t="shared" ref="M6:P7" si="1">+IFERROR((D6/C6)-1,0)</f>
        <v>0</v>
      </c>
      <c r="N6" s="177">
        <f t="shared" si="1"/>
        <v>0</v>
      </c>
      <c r="O6" s="177">
        <f t="shared" si="1"/>
        <v>0</v>
      </c>
      <c r="P6" s="177">
        <f t="shared" si="1"/>
        <v>0</v>
      </c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2" t="s">
        <v>43</v>
      </c>
      <c r="AI6" s="173"/>
    </row>
    <row r="7" spans="1:35" s="170" customFormat="1">
      <c r="A7" s="179"/>
      <c r="B7" s="87" t="s">
        <v>44</v>
      </c>
      <c r="C7" s="180">
        <f>SUM(C6:C6)</f>
        <v>0</v>
      </c>
      <c r="D7" s="180">
        <f>SUM(D6:D6)</f>
        <v>0</v>
      </c>
      <c r="E7" s="180">
        <f>SUM(E6:E6)</f>
        <v>0</v>
      </c>
      <c r="F7" s="180">
        <f>SUM(F6:F6)</f>
        <v>0</v>
      </c>
      <c r="G7" s="181">
        <f>SUM(G6:G6)</f>
        <v>0</v>
      </c>
      <c r="H7" s="182">
        <f t="shared" si="0"/>
        <v>0</v>
      </c>
      <c r="I7" s="182">
        <f t="shared" si="0"/>
        <v>0</v>
      </c>
      <c r="J7" s="182">
        <f t="shared" si="0"/>
        <v>0</v>
      </c>
      <c r="K7" s="182">
        <f t="shared" si="0"/>
        <v>0</v>
      </c>
      <c r="L7" s="183">
        <f t="shared" si="0"/>
        <v>0</v>
      </c>
      <c r="M7" s="182">
        <f t="shared" si="1"/>
        <v>0</v>
      </c>
      <c r="N7" s="182">
        <f t="shared" si="1"/>
        <v>0</v>
      </c>
      <c r="O7" s="182">
        <f t="shared" si="1"/>
        <v>0</v>
      </c>
      <c r="P7" s="182">
        <f t="shared" si="1"/>
        <v>0</v>
      </c>
      <c r="AH7" s="184" t="s">
        <v>33</v>
      </c>
    </row>
    <row r="8" spans="1:35" s="185" customFormat="1">
      <c r="B8" s="101" t="s">
        <v>35</v>
      </c>
      <c r="C8" s="177"/>
      <c r="D8" s="177">
        <f>IFERROR(D7/C7-1,0)</f>
        <v>0</v>
      </c>
      <c r="E8" s="177">
        <f>IFERROR(E7/D7-1,0)</f>
        <v>0</v>
      </c>
      <c r="F8" s="177">
        <f>IFERROR(F7/E7-1,0)</f>
        <v>0</v>
      </c>
      <c r="G8" s="177">
        <f>IFERROR(G7/F7-1,0)</f>
        <v>0</v>
      </c>
      <c r="H8" s="210"/>
      <c r="I8" s="186"/>
      <c r="J8" s="186"/>
      <c r="K8" s="186"/>
      <c r="L8" s="187"/>
      <c r="M8" s="186"/>
      <c r="N8" s="186"/>
      <c r="O8" s="186"/>
      <c r="P8" s="186"/>
      <c r="AI8" s="188"/>
    </row>
    <row r="9" spans="1:35">
      <c r="B9" s="45" t="s">
        <v>45</v>
      </c>
      <c r="C9" s="174">
        <f>SUM(C10:C11)</f>
        <v>0</v>
      </c>
      <c r="D9" s="174">
        <f>SUM(D10:D11)</f>
        <v>0</v>
      </c>
      <c r="E9" s="174">
        <f>SUM(E10:E11)</f>
        <v>0</v>
      </c>
      <c r="F9" s="174">
        <f>SUM(F10:F11)</f>
        <v>0</v>
      </c>
      <c r="G9" s="189">
        <f>SUM(G10:G11)</f>
        <v>0</v>
      </c>
      <c r="H9" s="177">
        <f t="shared" ref="H9:H22" si="2">IFERROR(C9/C$7,0)</f>
        <v>0</v>
      </c>
      <c r="I9" s="177">
        <f t="shared" ref="I9:I22" si="3">IFERROR(D9/D$7,0)</f>
        <v>0</v>
      </c>
      <c r="J9" s="177">
        <f t="shared" ref="J9:J22" si="4">IFERROR(E9/E$7,0)</f>
        <v>0</v>
      </c>
      <c r="K9" s="177">
        <f t="shared" ref="K9:K22" si="5">IFERROR(F9/F$7,0)</f>
        <v>0</v>
      </c>
      <c r="L9" s="190">
        <f t="shared" ref="L9:L22" si="6">IFERROR(G9/G$7,0)</f>
        <v>0</v>
      </c>
      <c r="M9" s="177">
        <f t="shared" ref="M9:M22" si="7">+IFERROR((D9/C9)-1,0)</f>
        <v>0</v>
      </c>
      <c r="N9" s="177">
        <f t="shared" ref="N9:N22" si="8">+IFERROR((E9/D9)-1,0)</f>
        <v>0</v>
      </c>
      <c r="O9" s="177">
        <f t="shared" ref="O9:O22" si="9">+IFERROR((F9/E9)-1,0)</f>
        <v>0</v>
      </c>
      <c r="P9" s="177">
        <f t="shared" ref="P9:P22" si="10">+IFERROR((G9/F9)-1,0)</f>
        <v>0</v>
      </c>
      <c r="AI9" s="173"/>
    </row>
    <row r="10" spans="1:35" outlineLevel="1">
      <c r="B10" s="211" t="s">
        <v>46</v>
      </c>
      <c r="C10" s="174">
        <f>SUM(Sch.!C271:C272)/curr</f>
        <v>0</v>
      </c>
      <c r="D10" s="174">
        <f>SUM(Sch.!D271:D272)/curr</f>
        <v>0</v>
      </c>
      <c r="E10" s="174">
        <f>SUM(Sch.!E271:E272)/curr</f>
        <v>0</v>
      </c>
      <c r="F10" s="174">
        <f>SUM(Sch.!F271:F272)/curr</f>
        <v>0</v>
      </c>
      <c r="G10" s="189">
        <f>SUM(Sch.!G271:G272)/curr</f>
        <v>0</v>
      </c>
      <c r="H10" s="177">
        <f t="shared" si="2"/>
        <v>0</v>
      </c>
      <c r="I10" s="177">
        <f t="shared" si="3"/>
        <v>0</v>
      </c>
      <c r="J10" s="177">
        <f t="shared" si="4"/>
        <v>0</v>
      </c>
      <c r="K10" s="177">
        <f t="shared" si="5"/>
        <v>0</v>
      </c>
      <c r="L10" s="190">
        <f t="shared" si="6"/>
        <v>0</v>
      </c>
      <c r="M10" s="177">
        <f t="shared" si="7"/>
        <v>0</v>
      </c>
      <c r="N10" s="177">
        <f t="shared" si="8"/>
        <v>0</v>
      </c>
      <c r="O10" s="177">
        <f t="shared" si="9"/>
        <v>0</v>
      </c>
      <c r="P10" s="177">
        <f t="shared" si="10"/>
        <v>0</v>
      </c>
      <c r="AI10" s="173"/>
    </row>
    <row r="11" spans="1:35" outlineLevel="1">
      <c r="B11" s="211" t="s">
        <v>47</v>
      </c>
      <c r="C11" s="174">
        <f>Sch.!C273/curr</f>
        <v>0</v>
      </c>
      <c r="D11" s="174">
        <f>Sch.!D273/curr</f>
        <v>0</v>
      </c>
      <c r="E11" s="174">
        <f>Sch.!E273/curr</f>
        <v>0</v>
      </c>
      <c r="F11" s="174">
        <f>Sch.!F273/curr</f>
        <v>0</v>
      </c>
      <c r="G11" s="189">
        <f>Sch.!G273/curr</f>
        <v>0</v>
      </c>
      <c r="H11" s="177">
        <f t="shared" si="2"/>
        <v>0</v>
      </c>
      <c r="I11" s="177">
        <f t="shared" si="3"/>
        <v>0</v>
      </c>
      <c r="J11" s="177">
        <f t="shared" si="4"/>
        <v>0</v>
      </c>
      <c r="K11" s="177">
        <f t="shared" si="5"/>
        <v>0</v>
      </c>
      <c r="L11" s="190">
        <f t="shared" si="6"/>
        <v>0</v>
      </c>
      <c r="M11" s="177">
        <f t="shared" si="7"/>
        <v>0</v>
      </c>
      <c r="N11" s="177">
        <f t="shared" si="8"/>
        <v>0</v>
      </c>
      <c r="O11" s="177">
        <f t="shared" si="9"/>
        <v>0</v>
      </c>
      <c r="P11" s="177">
        <f t="shared" si="10"/>
        <v>0</v>
      </c>
      <c r="AI11" s="173"/>
    </row>
    <row r="12" spans="1:35">
      <c r="B12" s="45" t="s">
        <v>48</v>
      </c>
      <c r="C12" s="174">
        <f>Sch.!C342/curr</f>
        <v>0</v>
      </c>
      <c r="D12" s="174">
        <f>Sch.!D342/curr</f>
        <v>0</v>
      </c>
      <c r="E12" s="174">
        <f>Sch.!E342/curr</f>
        <v>0</v>
      </c>
      <c r="F12" s="174">
        <f>Sch.!F342/curr</f>
        <v>0</v>
      </c>
      <c r="G12" s="189">
        <f>Sch.!G342/curr</f>
        <v>0</v>
      </c>
      <c r="H12" s="177">
        <f t="shared" si="2"/>
        <v>0</v>
      </c>
      <c r="I12" s="177">
        <f t="shared" si="3"/>
        <v>0</v>
      </c>
      <c r="J12" s="177">
        <f t="shared" si="4"/>
        <v>0</v>
      </c>
      <c r="K12" s="177">
        <f t="shared" si="5"/>
        <v>0</v>
      </c>
      <c r="L12" s="190">
        <f t="shared" si="6"/>
        <v>0</v>
      </c>
      <c r="M12" s="177">
        <f t="shared" si="7"/>
        <v>0</v>
      </c>
      <c r="N12" s="177">
        <f t="shared" si="8"/>
        <v>0</v>
      </c>
      <c r="O12" s="177">
        <f t="shared" si="9"/>
        <v>0</v>
      </c>
      <c r="P12" s="177">
        <f t="shared" si="10"/>
        <v>0</v>
      </c>
      <c r="AI12" s="173"/>
    </row>
    <row r="13" spans="1:35">
      <c r="B13" s="191" t="s">
        <v>49</v>
      </c>
      <c r="C13" s="192">
        <f>C7-C9-C12</f>
        <v>0</v>
      </c>
      <c r="D13" s="192">
        <f>D7-D9-D12</f>
        <v>0</v>
      </c>
      <c r="E13" s="192">
        <f>E7-E9-E12</f>
        <v>0</v>
      </c>
      <c r="F13" s="192">
        <f>F7-F9-F12</f>
        <v>0</v>
      </c>
      <c r="G13" s="193">
        <f>G7-G9-G12</f>
        <v>0</v>
      </c>
      <c r="H13" s="182">
        <f t="shared" si="2"/>
        <v>0</v>
      </c>
      <c r="I13" s="182">
        <f t="shared" si="3"/>
        <v>0</v>
      </c>
      <c r="J13" s="182">
        <f t="shared" si="4"/>
        <v>0</v>
      </c>
      <c r="K13" s="182">
        <f t="shared" si="5"/>
        <v>0</v>
      </c>
      <c r="L13" s="183">
        <f t="shared" si="6"/>
        <v>0</v>
      </c>
      <c r="M13" s="182">
        <f t="shared" si="7"/>
        <v>0</v>
      </c>
      <c r="N13" s="182">
        <f t="shared" si="8"/>
        <v>0</v>
      </c>
      <c r="O13" s="182">
        <f t="shared" si="9"/>
        <v>0</v>
      </c>
      <c r="P13" s="182">
        <f t="shared" si="10"/>
        <v>0</v>
      </c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  <c r="AF13" s="170"/>
      <c r="AG13" s="170"/>
      <c r="AH13" s="194"/>
      <c r="AI13" s="173"/>
    </row>
    <row r="14" spans="1:35">
      <c r="B14" s="45" t="s">
        <v>50</v>
      </c>
      <c r="C14" s="174">
        <f>(Sch.!C301)/(curr)</f>
        <v>0</v>
      </c>
      <c r="D14" s="174">
        <f>(Sch.!D301)/(curr)</f>
        <v>0</v>
      </c>
      <c r="E14" s="174">
        <f>(Sch.!E301)/(curr)</f>
        <v>0</v>
      </c>
      <c r="F14" s="174">
        <f>(Sch.!F301)/(curr)</f>
        <v>0</v>
      </c>
      <c r="G14" s="189">
        <f>(Sch.!G301)/(curr)</f>
        <v>0</v>
      </c>
      <c r="H14" s="177">
        <f t="shared" si="2"/>
        <v>0</v>
      </c>
      <c r="I14" s="177">
        <f t="shared" si="3"/>
        <v>0</v>
      </c>
      <c r="J14" s="177">
        <f t="shared" si="4"/>
        <v>0</v>
      </c>
      <c r="K14" s="177">
        <f t="shared" si="5"/>
        <v>0</v>
      </c>
      <c r="L14" s="190">
        <f t="shared" si="6"/>
        <v>0</v>
      </c>
      <c r="M14" s="177">
        <f t="shared" si="7"/>
        <v>0</v>
      </c>
      <c r="N14" s="177">
        <f t="shared" si="8"/>
        <v>0</v>
      </c>
      <c r="O14" s="177">
        <f t="shared" si="9"/>
        <v>0</v>
      </c>
      <c r="P14" s="177">
        <f t="shared" si="10"/>
        <v>0</v>
      </c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</row>
    <row r="15" spans="1:35">
      <c r="B15" s="45" t="s">
        <v>51</v>
      </c>
      <c r="C15" s="174">
        <f>(Sch.!C393+Sch.!C452)/curr</f>
        <v>0</v>
      </c>
      <c r="D15" s="174">
        <f>(Sch.!D393+Sch.!D452)/curr</f>
        <v>0</v>
      </c>
      <c r="E15" s="174">
        <f>(Sch.!E393+Sch.!E452)/curr</f>
        <v>0</v>
      </c>
      <c r="F15" s="174">
        <f>(Sch.!F393+Sch.!F452)/curr</f>
        <v>0</v>
      </c>
      <c r="G15" s="189">
        <f>(Sch.!G393+Sch.!G452)/curr</f>
        <v>0</v>
      </c>
      <c r="H15" s="177">
        <f t="shared" si="2"/>
        <v>0</v>
      </c>
      <c r="I15" s="177">
        <f t="shared" si="3"/>
        <v>0</v>
      </c>
      <c r="J15" s="177">
        <f t="shared" si="4"/>
        <v>0</v>
      </c>
      <c r="K15" s="177">
        <f t="shared" si="5"/>
        <v>0</v>
      </c>
      <c r="L15" s="190">
        <f t="shared" si="6"/>
        <v>0</v>
      </c>
      <c r="M15" s="177">
        <f t="shared" si="7"/>
        <v>0</v>
      </c>
      <c r="N15" s="177">
        <f t="shared" si="8"/>
        <v>0</v>
      </c>
      <c r="O15" s="177">
        <f t="shared" si="9"/>
        <v>0</v>
      </c>
      <c r="P15" s="177">
        <f t="shared" si="10"/>
        <v>0</v>
      </c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95"/>
    </row>
    <row r="16" spans="1:35">
      <c r="B16" s="88" t="s">
        <v>52</v>
      </c>
      <c r="C16" s="196">
        <f>C13-SUM(C14:C15)</f>
        <v>0</v>
      </c>
      <c r="D16" s="196">
        <f>D13-SUM(D14:D15)</f>
        <v>0</v>
      </c>
      <c r="E16" s="196">
        <f>E13-SUM(E14:E15)</f>
        <v>0</v>
      </c>
      <c r="F16" s="196">
        <f>F13-SUM(F14:F15)</f>
        <v>0</v>
      </c>
      <c r="G16" s="197">
        <f>G13-SUM(G14:G15)</f>
        <v>0</v>
      </c>
      <c r="H16" s="182">
        <f t="shared" si="2"/>
        <v>0</v>
      </c>
      <c r="I16" s="182">
        <f t="shared" si="3"/>
        <v>0</v>
      </c>
      <c r="J16" s="182">
        <f t="shared" si="4"/>
        <v>0</v>
      </c>
      <c r="K16" s="182">
        <f t="shared" si="5"/>
        <v>0</v>
      </c>
      <c r="L16" s="183">
        <f t="shared" si="6"/>
        <v>0</v>
      </c>
      <c r="M16" s="182">
        <f t="shared" si="7"/>
        <v>0</v>
      </c>
      <c r="N16" s="182">
        <f t="shared" si="8"/>
        <v>0</v>
      </c>
      <c r="O16" s="182">
        <f t="shared" si="9"/>
        <v>0</v>
      </c>
      <c r="P16" s="182">
        <f t="shared" si="10"/>
        <v>0</v>
      </c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95"/>
    </row>
    <row r="17" spans="2:34">
      <c r="B17" s="45" t="s">
        <v>53</v>
      </c>
      <c r="C17" s="174">
        <f>(Sch.!C310)/(curr)</f>
        <v>0</v>
      </c>
      <c r="D17" s="174">
        <f>(Sch.!D310)/(curr)</f>
        <v>0</v>
      </c>
      <c r="E17" s="174">
        <f>(Sch.!E310)/(curr)</f>
        <v>0</v>
      </c>
      <c r="F17" s="174">
        <f>(Sch.!F310)/(curr)</f>
        <v>0</v>
      </c>
      <c r="G17" s="189">
        <f>(Sch.!G310)/(curr)</f>
        <v>0</v>
      </c>
      <c r="H17" s="177">
        <f t="shared" si="2"/>
        <v>0</v>
      </c>
      <c r="I17" s="177">
        <f t="shared" si="3"/>
        <v>0</v>
      </c>
      <c r="J17" s="177">
        <f t="shared" si="4"/>
        <v>0</v>
      </c>
      <c r="K17" s="177">
        <f t="shared" si="5"/>
        <v>0</v>
      </c>
      <c r="L17" s="190">
        <f t="shared" si="6"/>
        <v>0</v>
      </c>
      <c r="M17" s="177">
        <f t="shared" si="7"/>
        <v>0</v>
      </c>
      <c r="N17" s="177">
        <f t="shared" si="8"/>
        <v>0</v>
      </c>
      <c r="O17" s="177">
        <f t="shared" si="9"/>
        <v>0</v>
      </c>
      <c r="P17" s="177">
        <f t="shared" si="10"/>
        <v>0</v>
      </c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</row>
    <row r="18" spans="2:34">
      <c r="B18" s="45" t="s">
        <v>54</v>
      </c>
      <c r="C18" s="175">
        <f>Sch.!C326/curr</f>
        <v>0</v>
      </c>
      <c r="D18" s="175">
        <f>Sch.!D326/curr</f>
        <v>0</v>
      </c>
      <c r="E18" s="175">
        <f>Sch.!E326/curr</f>
        <v>0</v>
      </c>
      <c r="F18" s="175">
        <f>Sch.!F326/curr</f>
        <v>0</v>
      </c>
      <c r="G18" s="176">
        <f>Sch.!G326/curr</f>
        <v>0</v>
      </c>
      <c r="H18" s="177">
        <f t="shared" si="2"/>
        <v>0</v>
      </c>
      <c r="I18" s="177">
        <f t="shared" si="3"/>
        <v>0</v>
      </c>
      <c r="J18" s="177">
        <f t="shared" si="4"/>
        <v>0</v>
      </c>
      <c r="K18" s="198">
        <f t="shared" si="5"/>
        <v>0</v>
      </c>
      <c r="L18" s="178">
        <f t="shared" si="6"/>
        <v>0</v>
      </c>
      <c r="M18" s="177">
        <f t="shared" si="7"/>
        <v>0</v>
      </c>
      <c r="N18" s="177">
        <f t="shared" si="8"/>
        <v>0</v>
      </c>
      <c r="O18" s="177">
        <f t="shared" si="9"/>
        <v>0</v>
      </c>
      <c r="P18" s="177">
        <f t="shared" si="10"/>
        <v>0</v>
      </c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</row>
    <row r="19" spans="2:34">
      <c r="B19" s="88" t="s">
        <v>55</v>
      </c>
      <c r="C19" s="196">
        <f>C16-SUM(C17:C18)</f>
        <v>0</v>
      </c>
      <c r="D19" s="196">
        <f>D16-SUM(D17:D18)</f>
        <v>0</v>
      </c>
      <c r="E19" s="196">
        <f>E16-SUM(E17:E18)</f>
        <v>0</v>
      </c>
      <c r="F19" s="196">
        <f>F16-SUM(F17:F18)</f>
        <v>0</v>
      </c>
      <c r="G19" s="197">
        <f>G16-SUM(G17:G18)</f>
        <v>0</v>
      </c>
      <c r="H19" s="182">
        <f t="shared" si="2"/>
        <v>0</v>
      </c>
      <c r="I19" s="182">
        <f t="shared" si="3"/>
        <v>0</v>
      </c>
      <c r="J19" s="182">
        <f t="shared" si="4"/>
        <v>0</v>
      </c>
      <c r="K19" s="182">
        <f t="shared" si="5"/>
        <v>0</v>
      </c>
      <c r="L19" s="183">
        <f t="shared" si="6"/>
        <v>0</v>
      </c>
      <c r="M19" s="182">
        <f t="shared" si="7"/>
        <v>0</v>
      </c>
      <c r="N19" s="182">
        <f t="shared" si="8"/>
        <v>0</v>
      </c>
      <c r="O19" s="182">
        <f t="shared" si="9"/>
        <v>0</v>
      </c>
      <c r="P19" s="182">
        <f t="shared" si="10"/>
        <v>0</v>
      </c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</row>
    <row r="20" spans="2:34">
      <c r="B20" s="45" t="s">
        <v>56</v>
      </c>
      <c r="C20" s="174">
        <f>((Sch.!C268))/(curr)</f>
        <v>0</v>
      </c>
      <c r="D20" s="174">
        <f>((Sch.!D268))/(curr)</f>
        <v>0</v>
      </c>
      <c r="E20" s="174">
        <f>((Sch.!E268))/(curr)</f>
        <v>0</v>
      </c>
      <c r="F20" s="174">
        <f>((Sch.!F268))/(curr)</f>
        <v>0</v>
      </c>
      <c r="G20" s="189">
        <f>((Sch.!G268))/(curr)</f>
        <v>0</v>
      </c>
      <c r="H20" s="177">
        <f t="shared" si="2"/>
        <v>0</v>
      </c>
      <c r="I20" s="177">
        <f t="shared" si="3"/>
        <v>0</v>
      </c>
      <c r="J20" s="177">
        <f t="shared" si="4"/>
        <v>0</v>
      </c>
      <c r="K20" s="177">
        <f t="shared" si="5"/>
        <v>0</v>
      </c>
      <c r="L20" s="190">
        <f t="shared" si="6"/>
        <v>0</v>
      </c>
      <c r="M20" s="177">
        <f t="shared" si="7"/>
        <v>0</v>
      </c>
      <c r="N20" s="177">
        <f t="shared" si="8"/>
        <v>0</v>
      </c>
      <c r="O20" s="177">
        <f t="shared" si="9"/>
        <v>0</v>
      </c>
      <c r="P20" s="177">
        <f t="shared" si="10"/>
        <v>0</v>
      </c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</row>
    <row r="21" spans="2:34">
      <c r="B21" s="148" t="s">
        <v>57</v>
      </c>
      <c r="C21" s="212">
        <f>Sch.!C338/curr</f>
        <v>0</v>
      </c>
      <c r="D21" s="212">
        <f>Sch.!D338/curr</f>
        <v>0</v>
      </c>
      <c r="E21" s="212">
        <f>Sch.!E338/curr</f>
        <v>0</v>
      </c>
      <c r="F21" s="212">
        <f>Sch.!F338/curr</f>
        <v>0</v>
      </c>
      <c r="G21" s="199">
        <f>Sch.!G338/curr</f>
        <v>0</v>
      </c>
      <c r="H21" s="177">
        <f t="shared" si="2"/>
        <v>0</v>
      </c>
      <c r="I21" s="177">
        <f t="shared" si="3"/>
        <v>0</v>
      </c>
      <c r="J21" s="177">
        <f t="shared" si="4"/>
        <v>0</v>
      </c>
      <c r="K21" s="177">
        <f t="shared" si="5"/>
        <v>0</v>
      </c>
      <c r="L21" s="190">
        <f t="shared" si="6"/>
        <v>0</v>
      </c>
      <c r="M21" s="177">
        <f t="shared" si="7"/>
        <v>0</v>
      </c>
      <c r="N21" s="177">
        <f t="shared" si="8"/>
        <v>0</v>
      </c>
      <c r="O21" s="177">
        <f t="shared" si="9"/>
        <v>0</v>
      </c>
      <c r="P21" s="177">
        <f t="shared" si="10"/>
        <v>0</v>
      </c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</row>
    <row r="22" spans="2:34" ht="16.5" customHeight="1" thickBot="1">
      <c r="B22" s="89" t="s">
        <v>58</v>
      </c>
      <c r="C22" s="200">
        <f>C19+C20-C21</f>
        <v>0</v>
      </c>
      <c r="D22" s="200">
        <f>D19+D20-D21</f>
        <v>0</v>
      </c>
      <c r="E22" s="200">
        <f>E19+E20-E21</f>
        <v>0</v>
      </c>
      <c r="F22" s="200">
        <f>F19+F20-F21</f>
        <v>0</v>
      </c>
      <c r="G22" s="201">
        <f>G19+G20-G21</f>
        <v>0</v>
      </c>
      <c r="H22" s="202">
        <f t="shared" si="2"/>
        <v>0</v>
      </c>
      <c r="I22" s="202">
        <f t="shared" si="3"/>
        <v>0</v>
      </c>
      <c r="J22" s="202">
        <f t="shared" si="4"/>
        <v>0</v>
      </c>
      <c r="K22" s="202">
        <f t="shared" si="5"/>
        <v>0</v>
      </c>
      <c r="L22" s="203">
        <f t="shared" si="6"/>
        <v>0</v>
      </c>
      <c r="M22" s="202">
        <f t="shared" si="7"/>
        <v>0</v>
      </c>
      <c r="N22" s="202">
        <f t="shared" si="8"/>
        <v>0</v>
      </c>
      <c r="O22" s="202">
        <f t="shared" si="9"/>
        <v>0</v>
      </c>
      <c r="P22" s="202">
        <f t="shared" si="10"/>
        <v>0</v>
      </c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  <c r="AF22" s="170"/>
      <c r="AG22" s="170"/>
    </row>
    <row r="23" spans="2:34">
      <c r="B23" s="204"/>
      <c r="C23" s="205"/>
      <c r="D23" s="205"/>
      <c r="E23" s="205"/>
      <c r="F23" s="205"/>
      <c r="G23" s="205"/>
      <c r="H23" s="206"/>
      <c r="I23" s="206"/>
      <c r="J23" s="206"/>
      <c r="K23" s="206"/>
      <c r="L23" s="206"/>
      <c r="M23" s="204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</row>
    <row r="24" spans="2:34">
      <c r="B24" s="154" t="s">
        <v>59</v>
      </c>
      <c r="C24" s="151"/>
      <c r="D24" s="151"/>
      <c r="E24" s="40"/>
      <c r="F24" s="151"/>
      <c r="G24" s="151"/>
    </row>
    <row r="25" spans="2:34">
      <c r="B25" s="208" t="s">
        <v>60</v>
      </c>
      <c r="C25" s="209">
        <f>C22-C24</f>
        <v>0</v>
      </c>
      <c r="D25" s="209">
        <f>D22-D24</f>
        <v>0</v>
      </c>
      <c r="E25" s="209">
        <f>E22-E24</f>
        <v>0</v>
      </c>
      <c r="F25" s="209">
        <f>F22-F24</f>
        <v>0</v>
      </c>
      <c r="G25" s="209">
        <f>G22-G24</f>
        <v>0</v>
      </c>
    </row>
  </sheetData>
  <dataValidations count="1">
    <dataValidation type="list" allowBlank="1" showInputMessage="1" showErrorMessage="1" sqref="B4" xr:uid="{00000000-0002-0000-0000-000000000000}">
      <formula1>$AH$5:$AH$7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G36"/>
  <sheetViews>
    <sheetView showGridLines="0" zoomScale="86" zoomScaleNormal="86" workbookViewId="0">
      <selection activeCell="G5" sqref="G5"/>
    </sheetView>
  </sheetViews>
  <sheetFormatPr defaultColWidth="8.453125" defaultRowHeight="15" customHeight="1"/>
  <cols>
    <col min="1" max="1" width="3" style="28" bestFit="1" customWidth="1"/>
    <col min="2" max="2" width="32.54296875" style="28" customWidth="1"/>
    <col min="3" max="6" width="11.1796875" style="28" bestFit="1" customWidth="1"/>
    <col min="7" max="7" width="13.6328125" style="28" bestFit="1" customWidth="1"/>
    <col min="8" max="8" width="8.453125" style="28" customWidth="1"/>
    <col min="9" max="16384" width="8.453125" style="28"/>
  </cols>
  <sheetData>
    <row r="2" spans="2:7" ht="15" customHeight="1">
      <c r="B2" s="86" t="str">
        <f>IS!B2</f>
        <v>Name</v>
      </c>
    </row>
    <row r="3" spans="2:7" ht="15" customHeight="1">
      <c r="B3" s="48" t="s">
        <v>61</v>
      </c>
    </row>
    <row r="4" spans="2:7" ht="15" customHeight="1">
      <c r="B4" s="54" t="str">
        <f>IS!B4</f>
        <v>INR million</v>
      </c>
    </row>
    <row r="5" spans="2:7" ht="15" customHeight="1">
      <c r="B5" s="129" t="s">
        <v>1</v>
      </c>
      <c r="C5" s="130" t="s">
        <v>62</v>
      </c>
      <c r="D5" s="130" t="s">
        <v>63</v>
      </c>
      <c r="E5" s="130" t="s">
        <v>64</v>
      </c>
      <c r="F5" s="130" t="s">
        <v>65</v>
      </c>
      <c r="G5" s="130" t="s">
        <v>66</v>
      </c>
    </row>
    <row r="6" spans="2:7" ht="15" customHeight="1">
      <c r="B6" s="47" t="s">
        <v>67</v>
      </c>
      <c r="C6" s="39"/>
      <c r="D6" s="39"/>
      <c r="E6" s="1"/>
      <c r="F6" s="1"/>
      <c r="G6" s="1"/>
    </row>
    <row r="7" spans="2:7" ht="15" customHeight="1">
      <c r="B7" s="48" t="s">
        <v>68</v>
      </c>
      <c r="C7" s="41"/>
      <c r="D7" s="41"/>
      <c r="E7" s="1"/>
      <c r="F7" s="1"/>
      <c r="G7" s="1"/>
    </row>
    <row r="8" spans="2:7" ht="15" customHeight="1">
      <c r="B8" s="49" t="s">
        <v>69</v>
      </c>
      <c r="C8" s="40">
        <f>((Sch.!C11))/(curr)</f>
        <v>0</v>
      </c>
      <c r="D8" s="40">
        <f>((Sch.!D11))/(curr)</f>
        <v>0</v>
      </c>
      <c r="E8" s="40">
        <f>((Sch.!E11))/(curr)</f>
        <v>0</v>
      </c>
      <c r="F8" s="40">
        <f>((Sch.!F11))/(curr)</f>
        <v>0</v>
      </c>
      <c r="G8" s="40">
        <f>((Sch.!G11))/(curr)</f>
        <v>0</v>
      </c>
    </row>
    <row r="9" spans="2:7" ht="15" customHeight="1">
      <c r="B9" s="49" t="s">
        <v>70</v>
      </c>
      <c r="C9" s="40">
        <f>(Sch.!C22)/(curr)</f>
        <v>0</v>
      </c>
      <c r="D9" s="40">
        <f>(Sch.!D22)/(curr)</f>
        <v>0</v>
      </c>
      <c r="E9" s="40">
        <f>(Sch.!E22)/(curr)</f>
        <v>0</v>
      </c>
      <c r="F9" s="40">
        <f>(Sch.!F22)/(curr)</f>
        <v>0</v>
      </c>
      <c r="G9" s="40">
        <f>(Sch.!G22)/(curr)</f>
        <v>0</v>
      </c>
    </row>
    <row r="10" spans="2:7" ht="15" customHeight="1">
      <c r="B10" s="50" t="s">
        <v>71</v>
      </c>
      <c r="C10" s="42">
        <f>SUM(C8:C9)</f>
        <v>0</v>
      </c>
      <c r="D10" s="42">
        <f>SUM(D8:D9)</f>
        <v>0</v>
      </c>
      <c r="E10" s="42">
        <f>SUM(E8:E9)</f>
        <v>0</v>
      </c>
      <c r="F10" s="42">
        <f>SUM(F8:F9)</f>
        <v>0</v>
      </c>
      <c r="G10" s="42">
        <f>SUM(G8:G9)</f>
        <v>0</v>
      </c>
    </row>
    <row r="11" spans="2:7" ht="15" customHeight="1">
      <c r="B11" s="52" t="s">
        <v>72</v>
      </c>
      <c r="C11" s="40">
        <f>Sch.!C43/curr</f>
        <v>0</v>
      </c>
      <c r="D11" s="40">
        <f>Sch.!D43/curr</f>
        <v>0</v>
      </c>
      <c r="E11" s="40">
        <f>Sch.!E43/curr</f>
        <v>0</v>
      </c>
      <c r="F11" s="40">
        <f>Sch.!F43/curr</f>
        <v>0</v>
      </c>
      <c r="G11" s="40">
        <f>Sch.!G43/curr</f>
        <v>0</v>
      </c>
    </row>
    <row r="12" spans="2:7" ht="15" customHeight="1">
      <c r="B12" s="52" t="s">
        <v>73</v>
      </c>
      <c r="C12" s="40">
        <f>Sch.!C69/curr</f>
        <v>0</v>
      </c>
      <c r="D12" s="40">
        <f>Sch.!D69/curr</f>
        <v>0</v>
      </c>
      <c r="E12" s="40">
        <f>Sch.!E69/curr</f>
        <v>0</v>
      </c>
      <c r="F12" s="40">
        <f>Sch.!F69/curr</f>
        <v>0</v>
      </c>
      <c r="G12" s="40">
        <f>Sch.!G69/curr</f>
        <v>0</v>
      </c>
    </row>
    <row r="13" spans="2:7" ht="15" customHeight="1">
      <c r="B13" s="51" t="s">
        <v>74</v>
      </c>
      <c r="C13" s="42">
        <f>SUM(C11:C12)</f>
        <v>0</v>
      </c>
      <c r="D13" s="42">
        <f>SUM(D11:D12)</f>
        <v>0</v>
      </c>
      <c r="E13" s="42">
        <f>SUM(E11:E12)</f>
        <v>0</v>
      </c>
      <c r="F13" s="42">
        <f>SUM(F11:F12)</f>
        <v>0</v>
      </c>
      <c r="G13" s="42">
        <f>SUM(G11:G12)</f>
        <v>0</v>
      </c>
    </row>
    <row r="14" spans="2:7" ht="15" customHeight="1" thickBot="1">
      <c r="B14" s="90" t="s">
        <v>75</v>
      </c>
      <c r="C14" s="91">
        <f>C10+C13</f>
        <v>0</v>
      </c>
      <c r="D14" s="91">
        <f>D10+D13</f>
        <v>0</v>
      </c>
      <c r="E14" s="91">
        <f>E10+E13</f>
        <v>0</v>
      </c>
      <c r="F14" s="91">
        <f>F10+F13</f>
        <v>0</v>
      </c>
      <c r="G14" s="91">
        <f>G10+G13</f>
        <v>0</v>
      </c>
    </row>
    <row r="15" spans="2:7" ht="15" customHeight="1">
      <c r="B15" s="47" t="s">
        <v>76</v>
      </c>
      <c r="C15" s="39"/>
      <c r="D15" s="39"/>
      <c r="E15" s="1"/>
      <c r="F15" s="1"/>
      <c r="G15" s="1"/>
    </row>
    <row r="16" spans="2:7" ht="15" customHeight="1">
      <c r="B16" s="85" t="s">
        <v>77</v>
      </c>
      <c r="C16" s="40">
        <f>Sch.!C128/curr</f>
        <v>0</v>
      </c>
      <c r="D16" s="40">
        <f>Sch.!D128/curr</f>
        <v>0</v>
      </c>
      <c r="E16" s="40">
        <f>Sch.!E128/curr</f>
        <v>0</v>
      </c>
      <c r="F16" s="40">
        <f>Sch.!F128/curr</f>
        <v>0</v>
      </c>
      <c r="G16" s="40">
        <f>Sch.!G128/curr</f>
        <v>0</v>
      </c>
    </row>
    <row r="17" spans="2:7" ht="15" customHeight="1">
      <c r="B17" s="85" t="s">
        <v>78</v>
      </c>
      <c r="C17" s="40">
        <f>Sch.!C204/curr</f>
        <v>0</v>
      </c>
      <c r="D17" s="40">
        <f>Sch.!D204/curr</f>
        <v>0</v>
      </c>
      <c r="E17" s="40">
        <f>Sch.!E204/curr</f>
        <v>0</v>
      </c>
      <c r="F17" s="40">
        <f>Sch.!F204/curr</f>
        <v>0</v>
      </c>
      <c r="G17" s="40">
        <f>Sch.!G204/curr</f>
        <v>0</v>
      </c>
    </row>
    <row r="18" spans="2:7" ht="15" customHeight="1">
      <c r="B18" s="85" t="s">
        <v>79</v>
      </c>
      <c r="C18" s="40">
        <f>(Sch.!C154+Sch.!C159)/curr</f>
        <v>0</v>
      </c>
      <c r="D18" s="40">
        <f>(Sch.!D154+Sch.!D159)/curr</f>
        <v>0</v>
      </c>
      <c r="E18" s="40">
        <f>(Sch.!E154+Sch.!E159)/curr</f>
        <v>0</v>
      </c>
      <c r="F18" s="40">
        <f>(Sch.!F154+Sch.!F159)/curr</f>
        <v>0</v>
      </c>
      <c r="G18" s="40">
        <f>(Sch.!G154+Sch.!G159)/curr</f>
        <v>0</v>
      </c>
    </row>
    <row r="19" spans="2:7" ht="15" customHeight="1">
      <c r="B19" s="49" t="s">
        <v>80</v>
      </c>
      <c r="C19" s="40">
        <f>((Sch.!C198))/(curr)</f>
        <v>0</v>
      </c>
      <c r="D19" s="40">
        <f>((Sch.!D198))/(curr)</f>
        <v>0</v>
      </c>
      <c r="E19" s="40">
        <f>((Sch.!E198))/(curr)</f>
        <v>0</v>
      </c>
      <c r="F19" s="40">
        <f>((Sch.!F198))/(curr)</f>
        <v>0</v>
      </c>
      <c r="G19" s="40">
        <f>((Sch.!G198))/(curr)</f>
        <v>0</v>
      </c>
    </row>
    <row r="20" spans="2:7" ht="15" customHeight="1">
      <c r="B20" s="125" t="s">
        <v>81</v>
      </c>
      <c r="C20" s="40"/>
      <c r="D20" s="40"/>
      <c r="E20" s="40"/>
      <c r="F20" s="40"/>
      <c r="G20" s="40"/>
    </row>
    <row r="21" spans="2:7" ht="15" customHeight="1">
      <c r="B21" s="49" t="s">
        <v>82</v>
      </c>
      <c r="C21" s="40">
        <f>((Sch.!C171))/(curr)</f>
        <v>0</v>
      </c>
      <c r="D21" s="40">
        <f>((Sch.!D171))/(curr)</f>
        <v>0</v>
      </c>
      <c r="E21" s="40">
        <f>((Sch.!E171))/(curr)</f>
        <v>0</v>
      </c>
      <c r="F21" s="40">
        <f>((Sch.!F171))/(curr)</f>
        <v>0</v>
      </c>
      <c r="G21" s="40">
        <f>((Sch.!G171))/(curr)</f>
        <v>0</v>
      </c>
    </row>
    <row r="22" spans="2:7" ht="15" customHeight="1">
      <c r="B22" s="49" t="s">
        <v>83</v>
      </c>
      <c r="C22" s="40">
        <f>Sch.!C185/curr</f>
        <v>0</v>
      </c>
      <c r="D22" s="40">
        <f>Sch.!D185/curr</f>
        <v>0</v>
      </c>
      <c r="E22" s="40">
        <f>Sch.!E185/curr</f>
        <v>0</v>
      </c>
      <c r="F22" s="40">
        <f>Sch.!F185/curr</f>
        <v>0</v>
      </c>
      <c r="G22" s="40">
        <f>Sch.!G185/curr</f>
        <v>0</v>
      </c>
    </row>
    <row r="23" spans="2:7" ht="15" customHeight="1">
      <c r="B23" s="85" t="s">
        <v>84</v>
      </c>
      <c r="C23" s="40">
        <f>Sch.!C143/curr</f>
        <v>0</v>
      </c>
      <c r="D23" s="40">
        <f>Sch.!D143/curr</f>
        <v>0</v>
      </c>
      <c r="E23" s="40">
        <f>Sch.!E143/curr</f>
        <v>0</v>
      </c>
      <c r="F23" s="40">
        <f>Sch.!F143/curr</f>
        <v>0</v>
      </c>
      <c r="G23" s="40">
        <f>Sch.!G143/curr</f>
        <v>0</v>
      </c>
    </row>
    <row r="24" spans="2:7" ht="15" customHeight="1">
      <c r="B24" s="49" t="s">
        <v>85</v>
      </c>
      <c r="C24" s="40">
        <f>(Sch.!C221)/(curr)</f>
        <v>0</v>
      </c>
      <c r="D24" s="40">
        <f>(Sch.!D221)/(curr)</f>
        <v>0</v>
      </c>
      <c r="E24" s="40">
        <f>(Sch.!E221)/(curr)</f>
        <v>0</v>
      </c>
      <c r="F24" s="40">
        <f>(Sch.!F221)/(curr)</f>
        <v>0</v>
      </c>
      <c r="G24" s="40">
        <f>(Sch.!G221)/(curr)</f>
        <v>0</v>
      </c>
    </row>
    <row r="25" spans="2:7" ht="15" customHeight="1">
      <c r="B25" s="49" t="s">
        <v>86</v>
      </c>
      <c r="C25" s="40">
        <f>(Sch.!C238)/(curr)</f>
        <v>0</v>
      </c>
      <c r="D25" s="40">
        <f>(Sch.!D238)/(curr)</f>
        <v>0</v>
      </c>
      <c r="E25" s="40">
        <f>(Sch.!E238)/(curr)</f>
        <v>0</v>
      </c>
      <c r="F25" s="40">
        <f>(Sch.!F238)/(curr)</f>
        <v>0</v>
      </c>
      <c r="G25" s="40">
        <f>(Sch.!G238)/(curr)</f>
        <v>0</v>
      </c>
    </row>
    <row r="26" spans="2:7" s="97" customFormat="1" ht="15" customHeight="1">
      <c r="B26" s="137" t="s">
        <v>81</v>
      </c>
      <c r="C26" s="138">
        <f>SUM(C21:C25)</f>
        <v>0</v>
      </c>
      <c r="D26" s="138">
        <f>SUM(D21:D25)</f>
        <v>0</v>
      </c>
      <c r="E26" s="138">
        <f>SUM(E21:E25)</f>
        <v>0</v>
      </c>
      <c r="F26" s="138">
        <f>SUM(F21:F25)</f>
        <v>0</v>
      </c>
      <c r="G26" s="138">
        <f>SUM(G21:G25)</f>
        <v>0</v>
      </c>
    </row>
    <row r="27" spans="2:7" s="97" customFormat="1" ht="15" customHeight="1">
      <c r="B27" s="126" t="s">
        <v>87</v>
      </c>
      <c r="C27" s="98"/>
      <c r="D27" s="98"/>
      <c r="E27" s="98"/>
      <c r="F27" s="98"/>
      <c r="G27" s="98"/>
    </row>
    <row r="28" spans="2:7" ht="15" customHeight="1">
      <c r="B28" s="52" t="s">
        <v>88</v>
      </c>
      <c r="C28" s="40">
        <f>(Sch.!C55)/(curr)</f>
        <v>0</v>
      </c>
      <c r="D28" s="40">
        <f>(Sch.!D55)/(curr)</f>
        <v>0</v>
      </c>
      <c r="E28" s="40">
        <f>(Sch.!E55)/(curr)</f>
        <v>0</v>
      </c>
      <c r="F28" s="40">
        <f>(Sch.!F55)/(curr)</f>
        <v>0</v>
      </c>
      <c r="G28" s="40">
        <f>(Sch.!G55)/(curr)</f>
        <v>0</v>
      </c>
    </row>
    <row r="29" spans="2:7" ht="15" customHeight="1">
      <c r="B29" s="53" t="s">
        <v>89</v>
      </c>
      <c r="C29" s="40">
        <f>(Sch.!C103)/(curr)</f>
        <v>0</v>
      </c>
      <c r="D29" s="40">
        <f>(Sch.!D103)/(curr)</f>
        <v>0</v>
      </c>
      <c r="E29" s="40">
        <f>(Sch.!E103)/(curr)</f>
        <v>0</v>
      </c>
      <c r="F29" s="40">
        <f>(Sch.!F103)/(curr)</f>
        <v>0</v>
      </c>
      <c r="G29" s="40">
        <f>(Sch.!G103)/(curr)</f>
        <v>0</v>
      </c>
    </row>
    <row r="30" spans="2:7" ht="15" customHeight="1">
      <c r="B30" s="52" t="s">
        <v>90</v>
      </c>
      <c r="C30" s="40">
        <f>Sch.!C31/curr</f>
        <v>0</v>
      </c>
      <c r="D30" s="40">
        <f>Sch.!D31/curr</f>
        <v>0</v>
      </c>
      <c r="E30" s="40">
        <f>Sch.!E31/curr</f>
        <v>0</v>
      </c>
      <c r="F30" s="40">
        <f>Sch.!F31/curr</f>
        <v>0</v>
      </c>
      <c r="G30" s="40">
        <f>Sch.!G31/curr</f>
        <v>0</v>
      </c>
    </row>
    <row r="31" spans="2:7" ht="15" customHeight="1">
      <c r="B31" s="52" t="s">
        <v>91</v>
      </c>
      <c r="C31" s="40">
        <f>(Sch.!C82)/(curr)</f>
        <v>0</v>
      </c>
      <c r="D31" s="40">
        <f>(Sch.!D82)/(curr)</f>
        <v>0</v>
      </c>
      <c r="E31" s="40">
        <f>(Sch.!E82)/(curr)</f>
        <v>0</v>
      </c>
      <c r="F31" s="40">
        <f>(Sch.!F82)/(curr)</f>
        <v>0</v>
      </c>
      <c r="G31" s="40">
        <f>(Sch.!G82)/(curr)</f>
        <v>0</v>
      </c>
    </row>
    <row r="32" spans="2:7" s="97" customFormat="1" ht="15" customHeight="1">
      <c r="B32" s="139" t="s">
        <v>92</v>
      </c>
      <c r="C32" s="140">
        <f>SUM(C28:C31)</f>
        <v>0</v>
      </c>
      <c r="D32" s="140">
        <f>SUM(D28:D31)</f>
        <v>0</v>
      </c>
      <c r="E32" s="140">
        <f>SUM(E28:E31)</f>
        <v>0</v>
      </c>
      <c r="F32" s="140">
        <f>SUM(F28:F31)</f>
        <v>0</v>
      </c>
      <c r="G32" s="140">
        <f>SUM(G28:G31)</f>
        <v>0</v>
      </c>
    </row>
    <row r="33" spans="2:7" ht="15" customHeight="1">
      <c r="B33" s="51" t="s">
        <v>93</v>
      </c>
      <c r="C33" s="42">
        <f>C26-C32</f>
        <v>0</v>
      </c>
      <c r="D33" s="42">
        <f>D26-D32</f>
        <v>0</v>
      </c>
      <c r="E33" s="42">
        <f>E26-E32</f>
        <v>0</v>
      </c>
      <c r="F33" s="42">
        <f>F26-F32</f>
        <v>0</v>
      </c>
      <c r="G33" s="42">
        <f>G26-G32</f>
        <v>0</v>
      </c>
    </row>
    <row r="34" spans="2:7" ht="15" customHeight="1" thickBot="1">
      <c r="B34" s="90" t="s">
        <v>75</v>
      </c>
      <c r="C34" s="91">
        <f>SUM(C16:C19,C33)</f>
        <v>0</v>
      </c>
      <c r="D34" s="91">
        <f>SUM(D16:D19,D33)</f>
        <v>0</v>
      </c>
      <c r="E34" s="91">
        <f>SUM(E16:E19,E33)</f>
        <v>0</v>
      </c>
      <c r="F34" s="91">
        <f>SUM(F16:F19,F33)</f>
        <v>0</v>
      </c>
      <c r="G34" s="91">
        <f>SUM(G16:G19,G33)</f>
        <v>0</v>
      </c>
    </row>
    <row r="36" spans="2:7" ht="15" customHeight="1">
      <c r="B36" s="38" t="s">
        <v>94</v>
      </c>
      <c r="C36" s="43">
        <f>C14-C34</f>
        <v>0</v>
      </c>
      <c r="D36" s="43">
        <f>D14-D34</f>
        <v>0</v>
      </c>
      <c r="E36" s="43">
        <f>E14-E34</f>
        <v>0</v>
      </c>
      <c r="F36" s="43">
        <f>F14-F34</f>
        <v>0</v>
      </c>
      <c r="G36" s="43">
        <f>G14-G34</f>
        <v>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35"/>
  <sheetViews>
    <sheetView showGridLines="0" topLeftCell="A8" zoomScale="96" zoomScaleNormal="57" workbookViewId="0">
      <selection activeCell="C24" sqref="C24"/>
    </sheetView>
  </sheetViews>
  <sheetFormatPr defaultColWidth="8.453125" defaultRowHeight="16"/>
  <cols>
    <col min="1" max="1" width="3" style="7" customWidth="1"/>
    <col min="2" max="2" width="47.453125" style="7" bestFit="1" customWidth="1"/>
    <col min="3" max="4" width="7.81640625" style="35" bestFit="1" customWidth="1"/>
    <col min="5" max="5" width="7.36328125" style="35" bestFit="1" customWidth="1"/>
    <col min="6" max="6" width="8.453125" style="7" customWidth="1"/>
    <col min="7" max="16384" width="8.453125" style="7"/>
  </cols>
  <sheetData>
    <row r="2" spans="2:6">
      <c r="B2" s="9" t="str">
        <f>IS!B2</f>
        <v>Name</v>
      </c>
    </row>
    <row r="3" spans="2:6">
      <c r="B3" s="9" t="s">
        <v>95</v>
      </c>
    </row>
    <row r="4" spans="2:6">
      <c r="B4" s="12" t="str">
        <f>IS!B4</f>
        <v>INR million</v>
      </c>
    </row>
    <row r="5" spans="2:6" ht="14.5" customHeight="1">
      <c r="B5" s="127" t="s">
        <v>1</v>
      </c>
      <c r="C5" s="128" t="str">
        <f>IS!D5</f>
        <v>FY23</v>
      </c>
      <c r="D5" s="128" t="str">
        <f>IS!E5</f>
        <v>FY24</v>
      </c>
      <c r="E5" s="128" t="str">
        <f>IS!F5</f>
        <v>FY25</v>
      </c>
      <c r="F5" s="128" t="str">
        <f>IS!G5</f>
        <v>FY26</v>
      </c>
    </row>
    <row r="6" spans="2:6">
      <c r="B6" s="9" t="s">
        <v>96</v>
      </c>
      <c r="F6" s="35"/>
    </row>
    <row r="7" spans="2:6">
      <c r="B7" s="13" t="s">
        <v>97</v>
      </c>
      <c r="C7" s="131">
        <f>IS!D22</f>
        <v>0</v>
      </c>
      <c r="D7" s="131">
        <f>IS!E22</f>
        <v>0</v>
      </c>
      <c r="E7" s="131">
        <f>IS!F22</f>
        <v>0</v>
      </c>
      <c r="F7" s="131">
        <f>IS!G22</f>
        <v>0</v>
      </c>
    </row>
    <row r="8" spans="2:6">
      <c r="B8" s="14" t="s">
        <v>53</v>
      </c>
      <c r="C8" s="131">
        <f>IS!D17</f>
        <v>0</v>
      </c>
      <c r="D8" s="131">
        <f>IS!E17</f>
        <v>0</v>
      </c>
      <c r="E8" s="131">
        <f>IS!F17</f>
        <v>0</v>
      </c>
      <c r="F8" s="131">
        <f>IS!G17</f>
        <v>0</v>
      </c>
    </row>
    <row r="9" spans="2:6">
      <c r="B9" s="10" t="s">
        <v>98</v>
      </c>
      <c r="C9" s="132">
        <f>SUM(C7:C8)</f>
        <v>0</v>
      </c>
      <c r="D9" s="132">
        <f>SUM(D7:D8)</f>
        <v>0</v>
      </c>
      <c r="E9" s="132">
        <f>SUM(E7:E8)</f>
        <v>0</v>
      </c>
      <c r="F9" s="132">
        <f>SUM(F7:F8)</f>
        <v>0</v>
      </c>
    </row>
    <row r="10" spans="2:6">
      <c r="B10" s="14" t="s">
        <v>99</v>
      </c>
      <c r="C10" s="131">
        <f>BS!C21-BS!D21</f>
        <v>0</v>
      </c>
      <c r="D10" s="131">
        <f>BS!D21-BS!E21</f>
        <v>0</v>
      </c>
      <c r="E10" s="131">
        <f>BS!E21-BS!F21</f>
        <v>0</v>
      </c>
      <c r="F10" s="131">
        <f>BS!F21-BS!G21</f>
        <v>0</v>
      </c>
    </row>
    <row r="11" spans="2:6">
      <c r="B11" s="6" t="s">
        <v>100</v>
      </c>
      <c r="C11" s="131">
        <f>+BS!C24-BS!D24</f>
        <v>0</v>
      </c>
      <c r="D11" s="131">
        <f>+BS!D24-BS!E24</f>
        <v>0</v>
      </c>
      <c r="E11" s="131">
        <f>+BS!E24-BS!F24</f>
        <v>0</v>
      </c>
      <c r="F11" s="131">
        <f>+BS!F24-BS!G24</f>
        <v>0</v>
      </c>
    </row>
    <row r="12" spans="2:6">
      <c r="B12" s="6" t="s">
        <v>101</v>
      </c>
      <c r="C12" s="131">
        <f>BS!C25-BS!D25</f>
        <v>0</v>
      </c>
      <c r="D12" s="131">
        <f>BS!D25-BS!E25</f>
        <v>0</v>
      </c>
      <c r="E12" s="131">
        <f>BS!E25-BS!F25</f>
        <v>0</v>
      </c>
      <c r="F12" s="131">
        <f>BS!F25-BS!G25</f>
        <v>0</v>
      </c>
    </row>
    <row r="13" spans="2:6">
      <c r="B13" s="14" t="s">
        <v>102</v>
      </c>
      <c r="C13" s="131">
        <f>BS!C22-BS!D22</f>
        <v>0</v>
      </c>
      <c r="D13" s="131">
        <f>BS!D22-BS!E22</f>
        <v>0</v>
      </c>
      <c r="E13" s="131">
        <f>BS!E22-BS!F22</f>
        <v>0</v>
      </c>
      <c r="F13" s="131">
        <f>BS!F22-BS!G22</f>
        <v>0</v>
      </c>
    </row>
    <row r="14" spans="2:6">
      <c r="B14" s="14" t="s">
        <v>103</v>
      </c>
      <c r="C14" s="131">
        <f>BS!C23-BS!D23</f>
        <v>0</v>
      </c>
      <c r="D14" s="131">
        <f>BS!D23-BS!E23</f>
        <v>0</v>
      </c>
      <c r="E14" s="131">
        <f>BS!E23-BS!F23</f>
        <v>0</v>
      </c>
      <c r="F14" s="131">
        <f>BS!F23-BS!G23</f>
        <v>0</v>
      </c>
    </row>
    <row r="15" spans="2:6">
      <c r="B15" s="14" t="s">
        <v>104</v>
      </c>
      <c r="C15" s="131">
        <f>BS!C17-BS!D17</f>
        <v>0</v>
      </c>
      <c r="D15" s="131">
        <f>BS!D17-BS!E17</f>
        <v>0</v>
      </c>
      <c r="E15" s="131">
        <f>BS!E17-BS!F17</f>
        <v>0</v>
      </c>
      <c r="F15" s="131">
        <f>BS!F17-BS!G17</f>
        <v>0</v>
      </c>
    </row>
    <row r="16" spans="2:6">
      <c r="B16" s="14" t="s">
        <v>105</v>
      </c>
      <c r="C16" s="131">
        <f>BS!D28-BS!C28</f>
        <v>0</v>
      </c>
      <c r="D16" s="131">
        <f>BS!E28-BS!D28</f>
        <v>0</v>
      </c>
      <c r="E16" s="131">
        <f>BS!F28-BS!E28</f>
        <v>0</v>
      </c>
      <c r="F16" s="131">
        <f>BS!G28-BS!F28</f>
        <v>0</v>
      </c>
    </row>
    <row r="17" spans="2:6">
      <c r="B17" s="14" t="s">
        <v>106</v>
      </c>
      <c r="C17" s="131">
        <f>BS!D29-BS!C29</f>
        <v>0</v>
      </c>
      <c r="D17" s="131">
        <f>BS!E29-BS!D29</f>
        <v>0</v>
      </c>
      <c r="E17" s="131">
        <f>BS!F29-BS!E29</f>
        <v>0</v>
      </c>
      <c r="F17" s="131">
        <f>BS!G29-BS!F29</f>
        <v>0</v>
      </c>
    </row>
    <row r="18" spans="2:6">
      <c r="B18" s="14" t="s">
        <v>107</v>
      </c>
      <c r="C18" s="131">
        <f>BS!D31-BS!C31</f>
        <v>0</v>
      </c>
      <c r="D18" s="131">
        <f>BS!E31-BS!D31</f>
        <v>0</v>
      </c>
      <c r="E18" s="131">
        <f>BS!F31-BS!E31</f>
        <v>0</v>
      </c>
      <c r="F18" s="131">
        <f>BS!G31-BS!F31</f>
        <v>0</v>
      </c>
    </row>
    <row r="19" spans="2:6">
      <c r="B19" s="14" t="s">
        <v>108</v>
      </c>
      <c r="C19" s="131">
        <f>BS!D30-BS!C30</f>
        <v>0</v>
      </c>
      <c r="D19" s="131">
        <f>BS!E30-BS!D30</f>
        <v>0</v>
      </c>
      <c r="E19" s="131">
        <f>BS!F30-BS!E30</f>
        <v>0</v>
      </c>
      <c r="F19" s="131">
        <f>BS!G30-BS!F30</f>
        <v>0</v>
      </c>
    </row>
    <row r="20" spans="2:6">
      <c r="B20" s="92" t="s">
        <v>109</v>
      </c>
      <c r="C20" s="133">
        <f>SUM(C9:C19)</f>
        <v>0</v>
      </c>
      <c r="D20" s="133">
        <f>SUM(D9:D19)</f>
        <v>0</v>
      </c>
      <c r="E20" s="133">
        <f>SUM(E9:E19)</f>
        <v>0</v>
      </c>
      <c r="F20" s="133">
        <f>SUM(F9:F19)</f>
        <v>0</v>
      </c>
    </row>
    <row r="21" spans="2:6">
      <c r="B21" s="9" t="s">
        <v>110</v>
      </c>
      <c r="C21" s="131"/>
      <c r="D21" s="131"/>
      <c r="E21" s="131"/>
      <c r="F21" s="131"/>
    </row>
    <row r="22" spans="2:6">
      <c r="B22" s="14" t="s">
        <v>111</v>
      </c>
      <c r="C22" s="134">
        <f>BS!C16-BS!D16-IS!D17</f>
        <v>0</v>
      </c>
      <c r="D22" s="134">
        <f>BS!D16-IS!E17-BS!E16</f>
        <v>0</v>
      </c>
      <c r="E22" s="134">
        <f>BS!E16-IS!F17-BS!F16</f>
        <v>0</v>
      </c>
      <c r="F22" s="134">
        <f>BS!F16-IS!G17-BS!G16</f>
        <v>0</v>
      </c>
    </row>
    <row r="23" spans="2:6">
      <c r="B23" s="14" t="s">
        <v>112</v>
      </c>
      <c r="C23" s="134">
        <f>BS!C18-BS!D18</f>
        <v>0</v>
      </c>
      <c r="D23" s="134">
        <f>BS!D18-BS!E18</f>
        <v>0</v>
      </c>
      <c r="E23" s="134">
        <f>BS!E18-BS!F18</f>
        <v>0</v>
      </c>
      <c r="F23" s="134">
        <f>BS!F18-BS!G18</f>
        <v>0</v>
      </c>
    </row>
    <row r="24" spans="2:6">
      <c r="B24" s="92" t="s">
        <v>113</v>
      </c>
      <c r="C24" s="133">
        <f>SUM(C22:C23)</f>
        <v>0</v>
      </c>
      <c r="D24" s="133">
        <f>SUM(D22:D23)</f>
        <v>0</v>
      </c>
      <c r="E24" s="133">
        <f>SUM(E22:E23)</f>
        <v>0</v>
      </c>
      <c r="F24" s="133">
        <f>SUM(F22:F23)</f>
        <v>0</v>
      </c>
    </row>
    <row r="25" spans="2:6">
      <c r="B25" s="9" t="s">
        <v>114</v>
      </c>
      <c r="C25" s="131"/>
      <c r="D25" s="131"/>
      <c r="E25" s="131"/>
      <c r="F25" s="131"/>
    </row>
    <row r="26" spans="2:6">
      <c r="B26" s="7" t="s">
        <v>115</v>
      </c>
      <c r="C26" s="131">
        <f>BS!D9-BS!C9-IS!D22</f>
        <v>0</v>
      </c>
      <c r="D26" s="131">
        <f>BS!E9-BS!D9-IS!E22</f>
        <v>0</v>
      </c>
      <c r="E26" s="131">
        <f>BS!F9-BS!E9-IS!F22</f>
        <v>0</v>
      </c>
      <c r="F26" s="131">
        <f>BS!G9-BS!F9-IS!G22</f>
        <v>0</v>
      </c>
    </row>
    <row r="27" spans="2:6">
      <c r="B27" s="14" t="s">
        <v>116</v>
      </c>
      <c r="C27" s="131">
        <f>BS!D11-BS!C11</f>
        <v>0</v>
      </c>
      <c r="D27" s="131">
        <f>BS!E11-BS!D11</f>
        <v>0</v>
      </c>
      <c r="E27" s="131">
        <f>BS!F11-BS!E11</f>
        <v>0</v>
      </c>
      <c r="F27" s="131">
        <f>BS!G11-BS!F11</f>
        <v>0</v>
      </c>
    </row>
    <row r="28" spans="2:6">
      <c r="B28" s="14" t="s">
        <v>117</v>
      </c>
      <c r="C28" s="131">
        <f>BS!D12-BS!C12</f>
        <v>0</v>
      </c>
      <c r="D28" s="131">
        <f>BS!E12-BS!D12</f>
        <v>0</v>
      </c>
      <c r="E28" s="131">
        <f>BS!F12-BS!E12</f>
        <v>0</v>
      </c>
      <c r="F28" s="131">
        <f>BS!G12-BS!F12</f>
        <v>0</v>
      </c>
    </row>
    <row r="29" spans="2:6">
      <c r="B29" s="93" t="s">
        <v>118</v>
      </c>
      <c r="C29" s="133">
        <f>SUM(C26:C28)</f>
        <v>0</v>
      </c>
      <c r="D29" s="133">
        <f>SUM(D26:D28)</f>
        <v>0</v>
      </c>
      <c r="E29" s="133">
        <f>SUM(E26:E28)</f>
        <v>0</v>
      </c>
      <c r="F29" s="133">
        <f>SUM(F26:F28)</f>
        <v>0</v>
      </c>
    </row>
    <row r="30" spans="2:6">
      <c r="B30" s="94" t="s">
        <v>119</v>
      </c>
      <c r="C30" s="135">
        <f>C20+C24+C29</f>
        <v>0</v>
      </c>
      <c r="D30" s="135">
        <f>D20+D24+D29</f>
        <v>0</v>
      </c>
      <c r="E30" s="135">
        <f>E20+E24+E29</f>
        <v>0</v>
      </c>
      <c r="F30" s="135">
        <f>F20+F24+F29</f>
        <v>0</v>
      </c>
    </row>
    <row r="31" spans="2:6">
      <c r="B31" s="13" t="s">
        <v>120</v>
      </c>
      <c r="C31" s="131">
        <f>BS!C19</f>
        <v>0</v>
      </c>
      <c r="D31" s="131">
        <f>BS!D19</f>
        <v>0</v>
      </c>
      <c r="E31" s="131">
        <f>BS!E19</f>
        <v>0</v>
      </c>
      <c r="F31" s="131">
        <f>BS!F19</f>
        <v>0</v>
      </c>
    </row>
    <row r="32" spans="2:6" ht="16.5" customHeight="1" thickBot="1">
      <c r="B32" s="95" t="s">
        <v>121</v>
      </c>
      <c r="C32" s="136">
        <f>SUM(C30:C31)</f>
        <v>0</v>
      </c>
      <c r="D32" s="136">
        <f>SUM(D30:D31)</f>
        <v>0</v>
      </c>
      <c r="E32" s="136">
        <f>SUM(E30:E31)</f>
        <v>0</v>
      </c>
      <c r="F32" s="136">
        <f>SUM(F30:F31)</f>
        <v>0</v>
      </c>
    </row>
    <row r="33" spans="2:6">
      <c r="C33" s="34"/>
      <c r="F33" s="35"/>
    </row>
    <row r="34" spans="2:6">
      <c r="B34" s="7" t="s">
        <v>121</v>
      </c>
      <c r="C34" s="34">
        <f>BS!D19</f>
        <v>0</v>
      </c>
      <c r="D34" s="34">
        <f>BS!E19</f>
        <v>0</v>
      </c>
      <c r="E34" s="34">
        <f>BS!F19</f>
        <v>0</v>
      </c>
      <c r="F34" s="34">
        <f>BS!G19</f>
        <v>0</v>
      </c>
    </row>
    <row r="35" spans="2:6">
      <c r="B35" s="37" t="s">
        <v>94</v>
      </c>
      <c r="C35" s="56">
        <f>C32-C34</f>
        <v>0</v>
      </c>
      <c r="D35" s="56">
        <f>D32-D34</f>
        <v>0</v>
      </c>
      <c r="E35" s="56">
        <f>E32-E34</f>
        <v>0</v>
      </c>
      <c r="F35" s="56">
        <f>F32-F34</f>
        <v>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Q485"/>
  <sheetViews>
    <sheetView showGridLines="0" topLeftCell="A197" zoomScale="102" zoomScaleNormal="46" workbookViewId="0">
      <selection activeCell="I234" sqref="A234:XFD234"/>
    </sheetView>
  </sheetViews>
  <sheetFormatPr defaultColWidth="11" defaultRowHeight="16"/>
  <cols>
    <col min="1" max="1" width="3" style="11" customWidth="1"/>
    <col min="2" max="2" width="49.1796875" style="53" bestFit="1" customWidth="1"/>
    <col min="3" max="7" width="13.453125" style="61" bestFit="1" customWidth="1"/>
    <col min="8" max="8" width="2.6328125" style="61" customWidth="1"/>
    <col min="9" max="9" width="10" style="225" bestFit="1" customWidth="1"/>
    <col min="10" max="10" width="11" style="225" customWidth="1"/>
    <col min="11" max="11" width="15.1796875" style="225" bestFit="1" customWidth="1"/>
    <col min="12" max="13" width="11" style="225" customWidth="1"/>
    <col min="14" max="14" width="2.6328125" style="225" customWidth="1"/>
    <col min="15" max="18" width="11" style="225" customWidth="1"/>
    <col min="19" max="36" width="11" style="4" customWidth="1"/>
    <col min="37" max="37" width="23.453125" style="4" bestFit="1" customWidth="1"/>
    <col min="38" max="38" width="14.453125" style="4" bestFit="1" customWidth="1"/>
    <col min="39" max="41" width="7.453125" style="4" bestFit="1" customWidth="1"/>
    <col min="42" max="42" width="11.453125" style="4" bestFit="1" customWidth="1"/>
    <col min="43" max="43" width="11" style="4" customWidth="1"/>
    <col min="44" max="16384" width="11" style="4"/>
  </cols>
  <sheetData>
    <row r="1" spans="1:8">
      <c r="A1" s="4"/>
    </row>
    <row r="2" spans="1:8">
      <c r="A2" s="4"/>
      <c r="B2" s="57" t="str">
        <f>IS!B2</f>
        <v>Name</v>
      </c>
    </row>
    <row r="3" spans="1:8">
      <c r="A3" s="4"/>
      <c r="B3" s="57" t="s">
        <v>122</v>
      </c>
      <c r="H3" s="62"/>
    </row>
    <row r="4" spans="1:8">
      <c r="A4" s="4"/>
      <c r="B4" s="53" t="str">
        <f>IS!B4</f>
        <v>INR million</v>
      </c>
      <c r="H4" s="62"/>
    </row>
    <row r="5" spans="1:8">
      <c r="A5" s="4"/>
      <c r="B5" s="51" t="s">
        <v>69</v>
      </c>
      <c r="C5" s="63"/>
      <c r="D5" s="63"/>
      <c r="E5" s="63"/>
      <c r="F5" s="63"/>
      <c r="G5" s="63"/>
    </row>
    <row r="6" spans="1:8">
      <c r="A6" s="4"/>
      <c r="B6" s="102" t="s">
        <v>1</v>
      </c>
      <c r="C6" s="64" t="s">
        <v>36</v>
      </c>
      <c r="D6" s="64" t="s">
        <v>37</v>
      </c>
      <c r="E6" s="64" t="s">
        <v>38</v>
      </c>
      <c r="F6" s="64" t="s">
        <v>39</v>
      </c>
      <c r="G6" s="64" t="s">
        <v>40</v>
      </c>
      <c r="H6" s="65"/>
    </row>
    <row r="7" spans="1:8">
      <c r="A7" s="4"/>
      <c r="B7" s="51" t="s">
        <v>123</v>
      </c>
    </row>
    <row r="8" spans="1:8">
      <c r="A8" s="4"/>
      <c r="B8" s="141" t="s">
        <v>124</v>
      </c>
      <c r="C8" s="142"/>
      <c r="D8" s="142"/>
      <c r="E8" s="142"/>
      <c r="F8" s="142"/>
      <c r="G8" s="142"/>
      <c r="H8" s="142"/>
    </row>
    <row r="9" spans="1:8">
      <c r="A9" s="4"/>
      <c r="B9" s="57" t="s">
        <v>125</v>
      </c>
    </row>
    <row r="10" spans="1:8">
      <c r="A10" s="4"/>
      <c r="B10" s="141" t="s">
        <v>124</v>
      </c>
      <c r="C10" s="142"/>
      <c r="D10" s="142"/>
      <c r="E10" s="142"/>
      <c r="F10" s="142"/>
      <c r="G10" s="142"/>
      <c r="H10" s="142"/>
    </row>
    <row r="11" spans="1:8">
      <c r="A11" s="4"/>
      <c r="B11" s="103" t="s">
        <v>75</v>
      </c>
      <c r="C11" s="66">
        <f>C10</f>
        <v>0</v>
      </c>
      <c r="D11" s="66">
        <f>D10</f>
        <v>0</v>
      </c>
      <c r="E11" s="66">
        <f>E10</f>
        <v>0</v>
      </c>
      <c r="F11" s="66">
        <f>F10</f>
        <v>0</v>
      </c>
      <c r="G11" s="66">
        <f>G10</f>
        <v>0</v>
      </c>
      <c r="H11" s="62"/>
    </row>
    <row r="12" spans="1:8">
      <c r="A12" s="4"/>
      <c r="B12" s="104" t="s">
        <v>70</v>
      </c>
      <c r="C12" s="67"/>
      <c r="D12" s="67"/>
      <c r="E12" s="67"/>
      <c r="F12" s="67"/>
      <c r="G12" s="67"/>
    </row>
    <row r="13" spans="1:8">
      <c r="A13" s="4"/>
      <c r="B13" s="102" t="s">
        <v>1</v>
      </c>
      <c r="C13" s="64" t="str">
        <f>C6</f>
        <v>FY22</v>
      </c>
      <c r="D13" s="64" t="str">
        <f>D6</f>
        <v>FY23</v>
      </c>
      <c r="E13" s="64" t="str">
        <f>E6</f>
        <v>FY24</v>
      </c>
      <c r="F13" s="64" t="str">
        <f>F6</f>
        <v>FY25</v>
      </c>
      <c r="G13" s="64" t="str">
        <f>G6</f>
        <v>FY26</v>
      </c>
      <c r="H13" s="65"/>
    </row>
    <row r="14" spans="1:8">
      <c r="A14" s="4"/>
      <c r="B14" s="53" t="s">
        <v>126</v>
      </c>
      <c r="C14" s="78"/>
      <c r="D14" s="78"/>
      <c r="E14" s="78"/>
      <c r="F14" s="78"/>
      <c r="G14" s="78"/>
      <c r="H14" s="65"/>
    </row>
    <row r="15" spans="1:8">
      <c r="A15" s="4"/>
      <c r="B15" s="53" t="s">
        <v>127</v>
      </c>
      <c r="C15" s="78"/>
      <c r="D15" s="78"/>
      <c r="E15" s="78"/>
      <c r="F15" s="78"/>
      <c r="G15" s="78"/>
      <c r="H15" s="65"/>
    </row>
    <row r="16" spans="1:8">
      <c r="A16" s="4"/>
      <c r="B16" s="105" t="s">
        <v>128</v>
      </c>
      <c r="C16" s="69"/>
      <c r="D16" s="69"/>
      <c r="E16" s="69"/>
      <c r="F16" s="69"/>
      <c r="G16" s="69"/>
      <c r="H16" s="69"/>
    </row>
    <row r="17" spans="1:42">
      <c r="A17" s="4"/>
      <c r="B17" s="106" t="s">
        <v>129</v>
      </c>
      <c r="C17" s="71"/>
      <c r="D17" s="71">
        <f>C21</f>
        <v>0</v>
      </c>
      <c r="E17" s="71">
        <f>D21</f>
        <v>0</v>
      </c>
      <c r="F17" s="71">
        <f>E21</f>
        <v>0</v>
      </c>
      <c r="G17" s="71">
        <f>F21</f>
        <v>0</v>
      </c>
      <c r="H17" s="69"/>
    </row>
    <row r="18" spans="1:42">
      <c r="A18" s="4"/>
      <c r="B18" s="106" t="s">
        <v>130</v>
      </c>
      <c r="C18" s="71"/>
      <c r="D18" s="71"/>
      <c r="E18" s="71"/>
      <c r="F18" s="71"/>
      <c r="G18" s="71"/>
      <c r="H18" s="69"/>
    </row>
    <row r="19" spans="1:42">
      <c r="A19" s="4"/>
      <c r="B19" s="106" t="s">
        <v>131</v>
      </c>
      <c r="C19" s="71"/>
      <c r="D19" s="71"/>
      <c r="E19" s="71"/>
      <c r="F19" s="71"/>
      <c r="G19" s="71"/>
      <c r="H19" s="69"/>
    </row>
    <row r="20" spans="1:42">
      <c r="A20" s="4"/>
      <c r="B20" s="106" t="s">
        <v>132</v>
      </c>
      <c r="C20" s="71">
        <f>IS!C22*curr</f>
        <v>0</v>
      </c>
      <c r="D20" s="71">
        <f>IS!D22*curr</f>
        <v>0</v>
      </c>
      <c r="E20" s="71">
        <f>IS!E22*curr</f>
        <v>0</v>
      </c>
      <c r="F20" s="71">
        <f>IS!F22*curr</f>
        <v>0</v>
      </c>
      <c r="G20" s="71">
        <f>IS!G22*curr</f>
        <v>0</v>
      </c>
      <c r="H20" s="69"/>
    </row>
    <row r="21" spans="1:42">
      <c r="A21" s="4"/>
      <c r="B21" s="106" t="s">
        <v>133</v>
      </c>
      <c r="C21" s="71">
        <f>SUM(C17:C20)</f>
        <v>0</v>
      </c>
      <c r="D21" s="71">
        <f>SUM(D17:D20)</f>
        <v>0</v>
      </c>
      <c r="E21" s="71">
        <f>SUM(E17:E20)</f>
        <v>0</v>
      </c>
      <c r="F21" s="71">
        <f>SUM(F17:F20)</f>
        <v>0</v>
      </c>
      <c r="G21" s="71">
        <f>SUM(G17:G20)</f>
        <v>0</v>
      </c>
      <c r="H21" s="69"/>
    </row>
    <row r="22" spans="1:42">
      <c r="A22" s="4"/>
      <c r="B22" s="107" t="s">
        <v>75</v>
      </c>
      <c r="C22" s="72">
        <f>C14+C15+C21</f>
        <v>0</v>
      </c>
      <c r="D22" s="72">
        <f>D14+D15+D21</f>
        <v>0</v>
      </c>
      <c r="E22" s="72">
        <f>E14+E15+E21</f>
        <v>0</v>
      </c>
      <c r="F22" s="72">
        <f>F14+F15+F21</f>
        <v>0</v>
      </c>
      <c r="G22" s="72">
        <f>G14+G15+G21</f>
        <v>0</v>
      </c>
      <c r="H22" s="73"/>
    </row>
    <row r="23" spans="1:42">
      <c r="A23" s="4"/>
      <c r="B23" s="58"/>
      <c r="C23" s="73"/>
      <c r="D23" s="73"/>
      <c r="E23" s="73"/>
      <c r="F23" s="73"/>
      <c r="G23" s="73"/>
      <c r="H23" s="73"/>
    </row>
    <row r="24" spans="1:42">
      <c r="A24" s="4"/>
      <c r="B24" s="108" t="s">
        <v>134</v>
      </c>
      <c r="C24" s="76"/>
      <c r="D24" s="76"/>
      <c r="E24" s="76"/>
      <c r="F24" s="76"/>
      <c r="G24" s="76"/>
    </row>
    <row r="25" spans="1:42">
      <c r="A25" s="4"/>
      <c r="B25" s="102" t="s">
        <v>1</v>
      </c>
      <c r="C25" s="64" t="str">
        <f>C6</f>
        <v>FY22</v>
      </c>
      <c r="D25" s="64" t="str">
        <f>D6</f>
        <v>FY23</v>
      </c>
      <c r="E25" s="64" t="str">
        <f>E6</f>
        <v>FY24</v>
      </c>
      <c r="F25" s="64" t="str">
        <f>F6</f>
        <v>FY25</v>
      </c>
      <c r="G25" s="64" t="str">
        <f>G6</f>
        <v>FY26</v>
      </c>
    </row>
    <row r="26" spans="1:42">
      <c r="A26" s="4"/>
      <c r="B26" s="49" t="s">
        <v>135</v>
      </c>
      <c r="H26" s="65"/>
    </row>
    <row r="27" spans="1:42" hidden="1">
      <c r="A27" s="4"/>
      <c r="B27" s="49"/>
      <c r="H27" s="65"/>
    </row>
    <row r="28" spans="1:42" hidden="1">
      <c r="A28" s="4"/>
      <c r="B28" s="49"/>
      <c r="H28" s="65"/>
    </row>
    <row r="29" spans="1:42" hidden="1">
      <c r="A29" s="4"/>
      <c r="B29" s="49"/>
      <c r="H29" s="65"/>
    </row>
    <row r="30" spans="1:42">
      <c r="A30" s="4"/>
      <c r="B30" s="49" t="s">
        <v>136</v>
      </c>
      <c r="H30" s="65"/>
    </row>
    <row r="31" spans="1:42">
      <c r="A31" s="4"/>
      <c r="B31" s="109" t="s">
        <v>75</v>
      </c>
      <c r="C31" s="77">
        <f>SUM(C26:C30)</f>
        <v>0</v>
      </c>
      <c r="D31" s="77">
        <f>SUM(D26:D30)</f>
        <v>0</v>
      </c>
      <c r="E31" s="77">
        <f>SUM(E26:E30)</f>
        <v>0</v>
      </c>
      <c r="F31" s="77">
        <f>SUM(F26:F30)</f>
        <v>0</v>
      </c>
      <c r="G31" s="77">
        <f>SUM(G26:G30)</f>
        <v>0</v>
      </c>
    </row>
    <row r="32" spans="1:42">
      <c r="A32" s="4"/>
      <c r="B32" s="59"/>
      <c r="C32" s="75"/>
      <c r="D32" s="75"/>
      <c r="E32" s="75"/>
      <c r="F32" s="75"/>
      <c r="G32" s="75"/>
      <c r="H32" s="75"/>
      <c r="AK32" s="8"/>
      <c r="AL32" s="15"/>
      <c r="AM32" s="15"/>
      <c r="AN32" s="15"/>
      <c r="AO32" s="15"/>
      <c r="AP32" s="15"/>
    </row>
    <row r="33" spans="1:42">
      <c r="A33" s="4"/>
      <c r="B33" s="108" t="s">
        <v>137</v>
      </c>
      <c r="C33" s="76"/>
      <c r="D33" s="76"/>
      <c r="E33" s="76"/>
      <c r="F33" s="76"/>
      <c r="G33" s="76"/>
      <c r="H33" s="75"/>
      <c r="AK33" s="8"/>
      <c r="AL33" s="15"/>
      <c r="AM33" s="15"/>
      <c r="AN33" s="15"/>
      <c r="AO33" s="15"/>
      <c r="AP33" s="15"/>
    </row>
    <row r="34" spans="1:42">
      <c r="A34" s="4"/>
      <c r="B34" s="102" t="s">
        <v>1</v>
      </c>
      <c r="C34" s="64" t="str">
        <f>C6</f>
        <v>FY22</v>
      </c>
      <c r="D34" s="64" t="str">
        <f>D6</f>
        <v>FY23</v>
      </c>
      <c r="E34" s="64" t="str">
        <f>E6</f>
        <v>FY24</v>
      </c>
      <c r="F34" s="64" t="str">
        <f>F6</f>
        <v>FY25</v>
      </c>
      <c r="G34" s="64" t="str">
        <f>G6</f>
        <v>FY26</v>
      </c>
      <c r="H34" s="75"/>
      <c r="AK34" s="8"/>
      <c r="AL34" s="15"/>
      <c r="AM34" s="15"/>
      <c r="AN34" s="15"/>
      <c r="AO34" s="15"/>
      <c r="AP34" s="15"/>
    </row>
    <row r="35" spans="1:42">
      <c r="A35" s="4"/>
      <c r="B35" s="110" t="s">
        <v>138</v>
      </c>
      <c r="H35" s="75"/>
      <c r="AK35" s="8"/>
      <c r="AL35" s="15"/>
      <c r="AM35" s="15"/>
      <c r="AN35" s="15"/>
      <c r="AO35" s="15"/>
      <c r="AP35" s="15"/>
    </row>
    <row r="36" spans="1:42" hidden="1">
      <c r="A36" s="4"/>
      <c r="B36" s="110"/>
      <c r="H36" s="75"/>
      <c r="AK36" s="8"/>
      <c r="AL36" s="15"/>
      <c r="AM36" s="15"/>
      <c r="AN36" s="15"/>
      <c r="AO36" s="15"/>
      <c r="AP36" s="15"/>
    </row>
    <row r="37" spans="1:42" hidden="1">
      <c r="A37" s="4"/>
      <c r="B37" s="110"/>
      <c r="H37" s="75"/>
      <c r="AK37" s="8"/>
      <c r="AL37" s="15"/>
      <c r="AM37" s="15"/>
      <c r="AN37" s="15"/>
      <c r="AO37" s="15"/>
      <c r="AP37" s="15"/>
    </row>
    <row r="38" spans="1:42" hidden="1">
      <c r="A38" s="4"/>
      <c r="B38" s="110"/>
      <c r="H38" s="75"/>
      <c r="AK38" s="8"/>
      <c r="AL38" s="15"/>
      <c r="AM38" s="15"/>
      <c r="AN38" s="15"/>
      <c r="AO38" s="15"/>
      <c r="AP38" s="15"/>
    </row>
    <row r="39" spans="1:42" hidden="1">
      <c r="A39" s="4"/>
      <c r="B39" s="110"/>
      <c r="H39" s="75"/>
      <c r="AK39" s="8"/>
      <c r="AL39" s="15"/>
      <c r="AM39" s="15"/>
      <c r="AN39" s="15"/>
      <c r="AO39" s="15"/>
      <c r="AP39" s="15"/>
    </row>
    <row r="40" spans="1:42" hidden="1">
      <c r="A40" s="4"/>
      <c r="B40" s="110"/>
      <c r="H40" s="75"/>
      <c r="AK40" s="8"/>
      <c r="AL40" s="15"/>
      <c r="AM40" s="15"/>
      <c r="AN40" s="15"/>
      <c r="AO40" s="15"/>
      <c r="AP40" s="15"/>
    </row>
    <row r="41" spans="1:42" hidden="1">
      <c r="A41" s="4"/>
      <c r="B41" s="110"/>
      <c r="H41" s="75"/>
      <c r="AK41" s="8"/>
      <c r="AL41" s="15"/>
      <c r="AM41" s="15"/>
      <c r="AN41" s="15"/>
      <c r="AO41" s="15"/>
      <c r="AP41" s="15"/>
    </row>
    <row r="42" spans="1:42">
      <c r="A42" s="4"/>
      <c r="B42" s="111" t="s">
        <v>139</v>
      </c>
      <c r="H42" s="75"/>
      <c r="AK42" s="8"/>
      <c r="AL42" s="15"/>
      <c r="AM42" s="15"/>
      <c r="AN42" s="15"/>
      <c r="AO42" s="15"/>
      <c r="AP42" s="15"/>
    </row>
    <row r="43" spans="1:42">
      <c r="A43" s="4"/>
      <c r="B43" s="112" t="s">
        <v>75</v>
      </c>
      <c r="C43" s="77">
        <f>SUM(C35:C42)</f>
        <v>0</v>
      </c>
      <c r="D43" s="77">
        <f>SUM(D35:D42)</f>
        <v>0</v>
      </c>
      <c r="E43" s="77">
        <f>SUM(E35:E42)</f>
        <v>0</v>
      </c>
      <c r="F43" s="77">
        <f>SUM(F35:F42)</f>
        <v>0</v>
      </c>
      <c r="G43" s="77">
        <f>SUM(G35:G42)</f>
        <v>0</v>
      </c>
      <c r="H43" s="75"/>
      <c r="AK43" s="8"/>
      <c r="AL43" s="15"/>
      <c r="AM43" s="15"/>
      <c r="AN43" s="15"/>
      <c r="AO43" s="15"/>
      <c r="AP43" s="15"/>
    </row>
    <row r="44" spans="1:42">
      <c r="A44" s="4"/>
      <c r="B44" s="59"/>
      <c r="C44" s="75"/>
      <c r="D44" s="75"/>
      <c r="E44" s="75"/>
      <c r="F44" s="75"/>
      <c r="G44" s="75"/>
      <c r="H44" s="75"/>
      <c r="AK44" s="8"/>
      <c r="AL44" s="15"/>
      <c r="AM44" s="15"/>
      <c r="AN44" s="15"/>
      <c r="AO44" s="15"/>
      <c r="AP44" s="15"/>
    </row>
    <row r="45" spans="1:42">
      <c r="A45" s="4"/>
      <c r="B45" s="108" t="s">
        <v>88</v>
      </c>
      <c r="C45" s="76"/>
      <c r="D45" s="76"/>
      <c r="E45" s="76"/>
      <c r="F45" s="76"/>
      <c r="G45" s="76"/>
      <c r="AK45" s="8"/>
      <c r="AL45" s="15"/>
      <c r="AM45" s="15"/>
      <c r="AN45" s="15"/>
      <c r="AO45" s="15"/>
      <c r="AP45" s="15"/>
    </row>
    <row r="46" spans="1:42">
      <c r="B46" s="102" t="s">
        <v>1</v>
      </c>
      <c r="C46" s="64" t="str">
        <f>C6</f>
        <v>FY22</v>
      </c>
      <c r="D46" s="64" t="str">
        <f>D6</f>
        <v>FY23</v>
      </c>
      <c r="E46" s="64" t="str">
        <f>E6</f>
        <v>FY24</v>
      </c>
      <c r="F46" s="64" t="str">
        <f>F6</f>
        <v>FY25</v>
      </c>
      <c r="G46" s="64" t="str">
        <f>G6</f>
        <v>FY26</v>
      </c>
      <c r="AK46" s="8"/>
      <c r="AL46" s="15"/>
      <c r="AM46" s="15"/>
      <c r="AN46" s="15"/>
      <c r="AO46" s="15"/>
      <c r="AP46" s="15"/>
    </row>
    <row r="47" spans="1:42">
      <c r="B47" s="110" t="s">
        <v>140</v>
      </c>
      <c r="H47" s="65"/>
      <c r="AK47" s="8"/>
      <c r="AL47" s="15"/>
      <c r="AM47" s="15"/>
      <c r="AN47" s="15"/>
      <c r="AO47" s="15"/>
      <c r="AP47" s="15"/>
    </row>
    <row r="48" spans="1:42">
      <c r="B48" s="52" t="s">
        <v>141</v>
      </c>
      <c r="H48" s="78"/>
      <c r="AK48" s="8"/>
      <c r="AL48" s="15"/>
      <c r="AM48" s="15"/>
      <c r="AN48" s="15"/>
      <c r="AO48" s="15"/>
      <c r="AP48" s="15"/>
    </row>
    <row r="49" spans="2:42" hidden="1">
      <c r="B49" s="110"/>
      <c r="H49" s="65"/>
      <c r="AK49" s="8"/>
      <c r="AL49" s="15"/>
      <c r="AM49" s="15"/>
      <c r="AN49" s="15"/>
      <c r="AO49" s="15"/>
      <c r="AP49" s="15"/>
    </row>
    <row r="50" spans="2:42" hidden="1">
      <c r="B50" s="110"/>
      <c r="H50" s="65"/>
      <c r="AK50" s="8"/>
      <c r="AL50" s="15"/>
      <c r="AM50" s="15"/>
      <c r="AN50" s="15"/>
      <c r="AO50" s="15"/>
      <c r="AP50" s="15"/>
    </row>
    <row r="51" spans="2:42" hidden="1">
      <c r="B51" s="110"/>
      <c r="H51" s="65"/>
      <c r="AK51" s="8"/>
      <c r="AL51" s="15"/>
      <c r="AM51" s="15"/>
      <c r="AN51" s="15"/>
      <c r="AO51" s="15"/>
      <c r="AP51" s="15"/>
    </row>
    <row r="52" spans="2:42" hidden="1">
      <c r="B52" s="110"/>
      <c r="H52" s="65"/>
      <c r="AK52" s="8"/>
      <c r="AL52" s="15"/>
      <c r="AM52" s="15"/>
      <c r="AN52" s="15"/>
      <c r="AO52" s="15"/>
      <c r="AP52" s="15"/>
    </row>
    <row r="53" spans="2:42" hidden="1">
      <c r="B53" s="110"/>
      <c r="H53" s="65"/>
      <c r="AK53" s="8"/>
      <c r="AL53" s="15"/>
      <c r="AM53" s="15"/>
      <c r="AN53" s="15"/>
      <c r="AO53" s="15"/>
      <c r="AP53" s="15"/>
    </row>
    <row r="54" spans="2:42">
      <c r="B54" s="111" t="s">
        <v>142</v>
      </c>
      <c r="H54" s="78"/>
      <c r="AK54" s="8"/>
      <c r="AL54" s="15"/>
      <c r="AM54" s="15"/>
      <c r="AN54" s="15"/>
      <c r="AO54" s="15"/>
      <c r="AP54" s="15"/>
    </row>
    <row r="55" spans="2:42">
      <c r="B55" s="112" t="s">
        <v>75</v>
      </c>
      <c r="C55" s="77">
        <f>SUM(C47:C54)</f>
        <v>0</v>
      </c>
      <c r="D55" s="77">
        <f>SUM(D47:D54)</f>
        <v>0</v>
      </c>
      <c r="E55" s="77">
        <f>SUM(E47:E54)</f>
        <v>0</v>
      </c>
      <c r="F55" s="77">
        <f>SUM(F47:F54)</f>
        <v>0</v>
      </c>
      <c r="G55" s="77">
        <f>SUM(G47:G54)</f>
        <v>0</v>
      </c>
      <c r="AK55" s="8"/>
      <c r="AL55" s="15"/>
      <c r="AM55" s="15"/>
      <c r="AN55" s="15"/>
      <c r="AO55" s="15"/>
      <c r="AP55" s="15"/>
    </row>
    <row r="56" spans="2:42">
      <c r="B56" s="59"/>
      <c r="C56" s="75"/>
      <c r="D56" s="75"/>
      <c r="E56" s="75"/>
      <c r="F56" s="75"/>
      <c r="G56" s="75"/>
      <c r="H56" s="75"/>
    </row>
    <row r="57" spans="2:42">
      <c r="B57" s="108" t="s">
        <v>143</v>
      </c>
      <c r="C57" s="76"/>
      <c r="D57" s="76"/>
      <c r="E57" s="76"/>
      <c r="F57" s="76"/>
      <c r="G57" s="76"/>
      <c r="H57" s="75"/>
    </row>
    <row r="58" spans="2:42">
      <c r="B58" s="102" t="s">
        <v>1</v>
      </c>
      <c r="C58" s="64" t="str">
        <f>C6</f>
        <v>FY22</v>
      </c>
      <c r="D58" s="64" t="str">
        <f>D6</f>
        <v>FY23</v>
      </c>
      <c r="E58" s="64" t="str">
        <f>E6</f>
        <v>FY24</v>
      </c>
      <c r="F58" s="64" t="str">
        <f>F6</f>
        <v>FY25</v>
      </c>
      <c r="G58" s="64" t="str">
        <f>G6</f>
        <v>FY26</v>
      </c>
      <c r="H58" s="75"/>
    </row>
    <row r="59" spans="2:42">
      <c r="B59" s="49" t="s">
        <v>144</v>
      </c>
      <c r="H59" s="75"/>
    </row>
    <row r="60" spans="2:42">
      <c r="B60" s="113" t="s">
        <v>145</v>
      </c>
      <c r="H60" s="75"/>
    </row>
    <row r="61" spans="2:42">
      <c r="B61" s="113" t="s">
        <v>146</v>
      </c>
      <c r="H61" s="75"/>
    </row>
    <row r="62" spans="2:42" hidden="1">
      <c r="B62" s="49"/>
      <c r="H62" s="75"/>
    </row>
    <row r="63" spans="2:42" hidden="1">
      <c r="B63" s="49"/>
      <c r="H63" s="75"/>
    </row>
    <row r="64" spans="2:42" hidden="1">
      <c r="B64" s="49"/>
      <c r="H64" s="75"/>
    </row>
    <row r="65" spans="1:8" hidden="1">
      <c r="B65" s="49"/>
      <c r="H65" s="75"/>
    </row>
    <row r="66" spans="1:8" hidden="1">
      <c r="B66" s="49"/>
      <c r="H66" s="75"/>
    </row>
    <row r="67" spans="1:8" hidden="1">
      <c r="B67" s="49"/>
      <c r="H67" s="75"/>
    </row>
    <row r="68" spans="1:8">
      <c r="B68" s="49" t="s">
        <v>147</v>
      </c>
      <c r="H68" s="75"/>
    </row>
    <row r="69" spans="1:8">
      <c r="B69" s="109" t="s">
        <v>75</v>
      </c>
      <c r="C69" s="77">
        <f>SUM(C59:C68)</f>
        <v>0</v>
      </c>
      <c r="D69" s="77">
        <f>SUM(D59:D68)</f>
        <v>0</v>
      </c>
      <c r="E69" s="77">
        <f>SUM(E59:E68)</f>
        <v>0</v>
      </c>
      <c r="F69" s="77">
        <f>SUM(F59:F68)</f>
        <v>0</v>
      </c>
      <c r="G69" s="77">
        <f>SUM(G59:G68)</f>
        <v>0</v>
      </c>
      <c r="H69" s="75"/>
    </row>
    <row r="70" spans="1:8">
      <c r="B70" s="59"/>
      <c r="C70" s="75"/>
      <c r="D70" s="75"/>
      <c r="E70" s="75"/>
      <c r="F70" s="75"/>
      <c r="G70" s="75"/>
      <c r="H70" s="75"/>
    </row>
    <row r="71" spans="1:8">
      <c r="B71" s="108" t="s">
        <v>148</v>
      </c>
      <c r="C71" s="76"/>
      <c r="D71" s="76"/>
      <c r="E71" s="76"/>
      <c r="F71" s="76"/>
      <c r="G71" s="76"/>
    </row>
    <row r="72" spans="1:8">
      <c r="A72" s="4"/>
      <c r="B72" s="102" t="s">
        <v>1</v>
      </c>
      <c r="C72" s="64" t="str">
        <f>C6</f>
        <v>FY22</v>
      </c>
      <c r="D72" s="64" t="str">
        <f>D6</f>
        <v>FY23</v>
      </c>
      <c r="E72" s="64" t="str">
        <f>E6</f>
        <v>FY24</v>
      </c>
      <c r="F72" s="64" t="str">
        <f>F6</f>
        <v>FY25</v>
      </c>
      <c r="G72" s="64" t="str">
        <f>G6</f>
        <v>FY26</v>
      </c>
    </row>
    <row r="73" spans="1:8">
      <c r="A73" s="4"/>
      <c r="B73" s="49" t="s">
        <v>135</v>
      </c>
      <c r="H73" s="65"/>
    </row>
    <row r="74" spans="1:8">
      <c r="A74" s="4"/>
      <c r="B74" s="49" t="s">
        <v>149</v>
      </c>
      <c r="H74" s="65"/>
    </row>
    <row r="75" spans="1:8" hidden="1">
      <c r="A75" s="4"/>
      <c r="B75" s="49"/>
      <c r="H75" s="65"/>
    </row>
    <row r="76" spans="1:8" hidden="1">
      <c r="A76" s="4"/>
      <c r="B76" s="49"/>
      <c r="H76" s="65"/>
    </row>
    <row r="77" spans="1:8" hidden="1">
      <c r="A77" s="4"/>
      <c r="B77" s="49"/>
      <c r="H77" s="65"/>
    </row>
    <row r="78" spans="1:8" hidden="1">
      <c r="A78" s="4"/>
      <c r="B78" s="49"/>
      <c r="H78" s="65"/>
    </row>
    <row r="79" spans="1:8" hidden="1">
      <c r="A79" s="4"/>
      <c r="B79" s="49"/>
      <c r="H79" s="65"/>
    </row>
    <row r="80" spans="1:8" hidden="1">
      <c r="A80" s="4"/>
      <c r="B80" s="49"/>
      <c r="H80" s="65"/>
    </row>
    <row r="81" spans="1:8">
      <c r="B81" s="49" t="s">
        <v>150</v>
      </c>
      <c r="H81" s="79"/>
    </row>
    <row r="82" spans="1:8">
      <c r="A82" s="4"/>
      <c r="B82" s="109" t="s">
        <v>75</v>
      </c>
      <c r="C82" s="77">
        <f>SUM(C73:C81)</f>
        <v>0</v>
      </c>
      <c r="D82" s="77">
        <f>SUM(D73:D81)</f>
        <v>0</v>
      </c>
      <c r="E82" s="77">
        <f>SUM(E73:E81)</f>
        <v>0</v>
      </c>
      <c r="F82" s="77">
        <f>SUM(F73:F81)</f>
        <v>0</v>
      </c>
      <c r="G82" s="77">
        <f>SUM(G73:G81)</f>
        <v>0</v>
      </c>
      <c r="H82" s="79"/>
    </row>
    <row r="83" spans="1:8">
      <c r="B83" s="59"/>
      <c r="C83" s="75"/>
      <c r="D83" s="75"/>
      <c r="E83" s="75"/>
      <c r="F83" s="75"/>
      <c r="G83" s="75"/>
      <c r="H83" s="75"/>
    </row>
    <row r="84" spans="1:8">
      <c r="B84" s="108" t="s">
        <v>89</v>
      </c>
      <c r="C84" s="76"/>
      <c r="D84" s="76"/>
      <c r="E84" s="76"/>
      <c r="F84" s="76"/>
      <c r="G84" s="76"/>
    </row>
    <row r="85" spans="1:8">
      <c r="B85" s="102" t="s">
        <v>1</v>
      </c>
      <c r="C85" s="64" t="str">
        <f>C6</f>
        <v>FY22</v>
      </c>
      <c r="D85" s="64" t="str">
        <f>D6</f>
        <v>FY23</v>
      </c>
      <c r="E85" s="64" t="str">
        <f>E6</f>
        <v>FY24</v>
      </c>
      <c r="F85" s="64" t="str">
        <f>F6</f>
        <v>FY25</v>
      </c>
      <c r="G85" s="64" t="str">
        <f>G6</f>
        <v>FY26</v>
      </c>
    </row>
    <row r="86" spans="1:8">
      <c r="B86" s="114" t="s">
        <v>151</v>
      </c>
      <c r="C86" s="79"/>
      <c r="D86" s="79"/>
      <c r="E86" s="79"/>
      <c r="F86" s="79"/>
      <c r="G86" s="79"/>
      <c r="H86" s="65"/>
    </row>
    <row r="87" spans="1:8">
      <c r="B87" s="13" t="s">
        <v>152</v>
      </c>
      <c r="C87" s="79"/>
      <c r="D87" s="79"/>
      <c r="E87" s="79"/>
      <c r="F87" s="79"/>
      <c r="G87" s="79"/>
      <c r="H87" s="70"/>
    </row>
    <row r="88" spans="1:8">
      <c r="B88" s="105" t="s">
        <v>153</v>
      </c>
      <c r="C88" s="79"/>
      <c r="D88" s="79"/>
      <c r="E88" s="79"/>
      <c r="F88" s="79"/>
      <c r="G88" s="79"/>
      <c r="H88" s="70"/>
    </row>
    <row r="89" spans="1:8">
      <c r="B89" s="105" t="s">
        <v>154</v>
      </c>
      <c r="C89" s="79"/>
      <c r="D89" s="79"/>
      <c r="E89" s="79"/>
      <c r="F89" s="79"/>
      <c r="G89" s="79"/>
      <c r="H89" s="70"/>
    </row>
    <row r="90" spans="1:8">
      <c r="B90" s="105" t="s">
        <v>155</v>
      </c>
      <c r="C90" s="79"/>
      <c r="D90" s="79"/>
      <c r="E90" s="79"/>
      <c r="F90" s="79"/>
      <c r="G90" s="79"/>
      <c r="H90" s="70"/>
    </row>
    <row r="91" spans="1:8">
      <c r="B91" s="105" t="s">
        <v>156</v>
      </c>
      <c r="C91" s="79"/>
      <c r="D91" s="79"/>
      <c r="E91" s="79"/>
      <c r="F91" s="79"/>
      <c r="G91" s="79"/>
      <c r="H91" s="70"/>
    </row>
    <row r="92" spans="1:8" hidden="1">
      <c r="B92" s="114"/>
      <c r="C92" s="79"/>
      <c r="D92" s="79"/>
      <c r="E92" s="79"/>
      <c r="F92" s="79"/>
      <c r="G92" s="79"/>
      <c r="H92" s="65"/>
    </row>
    <row r="93" spans="1:8" hidden="1">
      <c r="B93" s="114"/>
      <c r="C93" s="79"/>
      <c r="D93" s="79"/>
      <c r="E93" s="79"/>
      <c r="F93" s="79"/>
      <c r="G93" s="79"/>
      <c r="H93" s="65"/>
    </row>
    <row r="94" spans="1:8" hidden="1">
      <c r="B94" s="114"/>
      <c r="C94" s="79"/>
      <c r="D94" s="79"/>
      <c r="E94" s="79"/>
      <c r="F94" s="79"/>
      <c r="G94" s="79"/>
      <c r="H94" s="65"/>
    </row>
    <row r="95" spans="1:8" hidden="1">
      <c r="B95" s="114"/>
      <c r="C95" s="79"/>
      <c r="D95" s="79"/>
      <c r="E95" s="79"/>
      <c r="F95" s="79"/>
      <c r="G95" s="79"/>
      <c r="H95" s="65"/>
    </row>
    <row r="96" spans="1:8" hidden="1">
      <c r="B96" s="114"/>
      <c r="C96" s="79"/>
      <c r="D96" s="79"/>
      <c r="E96" s="79"/>
      <c r="F96" s="79"/>
      <c r="G96" s="79"/>
      <c r="H96" s="65"/>
    </row>
    <row r="97" spans="2:8" hidden="1">
      <c r="B97" s="114"/>
      <c r="C97" s="79"/>
      <c r="D97" s="79"/>
      <c r="E97" s="79"/>
      <c r="F97" s="79"/>
      <c r="G97" s="79"/>
      <c r="H97" s="65"/>
    </row>
    <row r="98" spans="2:8" hidden="1">
      <c r="B98" s="114"/>
      <c r="C98" s="79"/>
      <c r="D98" s="79"/>
      <c r="E98" s="79"/>
      <c r="F98" s="79"/>
      <c r="G98" s="79"/>
      <c r="H98" s="65"/>
    </row>
    <row r="99" spans="2:8" hidden="1">
      <c r="B99" s="114"/>
      <c r="C99" s="79"/>
      <c r="D99" s="79"/>
      <c r="E99" s="79"/>
      <c r="F99" s="79"/>
      <c r="G99" s="79"/>
      <c r="H99" s="65"/>
    </row>
    <row r="100" spans="2:8" hidden="1">
      <c r="B100" s="114"/>
      <c r="C100" s="79"/>
      <c r="D100" s="79"/>
      <c r="E100" s="79"/>
      <c r="F100" s="79"/>
      <c r="G100" s="79"/>
      <c r="H100" s="65"/>
    </row>
    <row r="101" spans="2:8" hidden="1">
      <c r="B101" s="114"/>
      <c r="C101" s="79"/>
      <c r="D101" s="79"/>
      <c r="E101" s="79"/>
      <c r="F101" s="79"/>
      <c r="G101" s="79"/>
      <c r="H101" s="65"/>
    </row>
    <row r="102" spans="2:8">
      <c r="B102" s="105" t="s">
        <v>157</v>
      </c>
      <c r="C102" s="79"/>
      <c r="D102" s="79"/>
      <c r="E102" s="79"/>
      <c r="F102" s="79"/>
      <c r="G102" s="79"/>
      <c r="H102" s="70"/>
    </row>
    <row r="103" spans="2:8">
      <c r="B103" s="109" t="s">
        <v>75</v>
      </c>
      <c r="C103" s="77">
        <f>SUM(C86:C102)</f>
        <v>0</v>
      </c>
      <c r="D103" s="77">
        <f>SUM(D86:D102)</f>
        <v>0</v>
      </c>
      <c r="E103" s="77">
        <f>SUM(E86:E102)</f>
        <v>0</v>
      </c>
      <c r="F103" s="77">
        <f>SUM(F86:F102)</f>
        <v>0</v>
      </c>
      <c r="G103" s="77">
        <f>SUM(G86:G102)</f>
        <v>0</v>
      </c>
      <c r="H103" s="79"/>
    </row>
    <row r="104" spans="2:8">
      <c r="B104" s="59"/>
      <c r="C104" s="75"/>
      <c r="D104" s="75"/>
      <c r="E104" s="75"/>
      <c r="F104" s="75"/>
      <c r="G104" s="75"/>
      <c r="H104" s="79"/>
    </row>
    <row r="105" spans="2:8">
      <c r="B105" s="108" t="s">
        <v>158</v>
      </c>
      <c r="C105" s="76"/>
      <c r="D105" s="76"/>
      <c r="E105" s="76"/>
      <c r="F105" s="76"/>
      <c r="G105" s="76"/>
      <c r="H105" s="79"/>
    </row>
    <row r="106" spans="2:8">
      <c r="B106" s="102" t="s">
        <v>1</v>
      </c>
      <c r="C106" s="64" t="str">
        <f>C6</f>
        <v>FY22</v>
      </c>
      <c r="D106" s="64" t="str">
        <f>D6</f>
        <v>FY23</v>
      </c>
      <c r="E106" s="64" t="str">
        <f>E6</f>
        <v>FY24</v>
      </c>
      <c r="F106" s="64" t="str">
        <f>F6</f>
        <v>FY25</v>
      </c>
      <c r="G106" s="64" t="str">
        <f>G6</f>
        <v>FY26</v>
      </c>
      <c r="H106" s="79"/>
    </row>
    <row r="107" spans="2:8">
      <c r="B107" s="114" t="s">
        <v>159</v>
      </c>
      <c r="C107" s="68"/>
      <c r="D107" s="68"/>
      <c r="E107" s="68"/>
      <c r="F107" s="68"/>
      <c r="G107" s="68"/>
      <c r="H107" s="79"/>
    </row>
    <row r="108" spans="2:8">
      <c r="B108" s="106" t="s">
        <v>160</v>
      </c>
      <c r="C108" s="79"/>
      <c r="D108" s="79"/>
      <c r="E108" s="79"/>
      <c r="F108" s="79"/>
      <c r="G108" s="79"/>
      <c r="H108" s="79"/>
    </row>
    <row r="109" spans="2:8">
      <c r="B109" s="106" t="s">
        <v>161</v>
      </c>
      <c r="C109" s="79"/>
      <c r="D109" s="79"/>
      <c r="E109" s="79"/>
      <c r="F109" s="79"/>
      <c r="G109" s="79"/>
      <c r="H109" s="75"/>
    </row>
    <row r="110" spans="2:8">
      <c r="B110" s="106" t="s">
        <v>162</v>
      </c>
      <c r="C110" s="79"/>
      <c r="D110" s="79"/>
      <c r="E110" s="79"/>
      <c r="F110" s="79"/>
      <c r="G110" s="79"/>
    </row>
    <row r="111" spans="2:8">
      <c r="B111" s="106" t="s">
        <v>163</v>
      </c>
      <c r="C111" s="79"/>
      <c r="D111" s="79"/>
      <c r="E111" s="79"/>
      <c r="F111" s="79"/>
      <c r="G111" s="79"/>
    </row>
    <row r="112" spans="2:8">
      <c r="B112" s="106" t="s">
        <v>164</v>
      </c>
      <c r="C112" s="79"/>
      <c r="D112" s="79"/>
      <c r="E112" s="79"/>
      <c r="F112" s="79"/>
      <c r="G112" s="79"/>
    </row>
    <row r="113" spans="2:8">
      <c r="B113" s="106" t="s">
        <v>165</v>
      </c>
      <c r="C113" s="79"/>
      <c r="D113" s="79"/>
      <c r="E113" s="79"/>
      <c r="F113" s="79"/>
      <c r="G113" s="79"/>
      <c r="H113" s="79"/>
    </row>
    <row r="114" spans="2:8">
      <c r="B114" s="106" t="s">
        <v>166</v>
      </c>
      <c r="C114" s="79"/>
      <c r="D114" s="79"/>
      <c r="E114" s="79"/>
      <c r="F114" s="79"/>
      <c r="G114" s="79"/>
      <c r="H114" s="79"/>
    </row>
    <row r="115" spans="2:8">
      <c r="B115" s="106" t="s">
        <v>167</v>
      </c>
      <c r="C115" s="79"/>
      <c r="D115" s="79"/>
      <c r="E115" s="79"/>
      <c r="F115" s="79"/>
      <c r="G115" s="79"/>
      <c r="H115" s="79"/>
    </row>
    <row r="116" spans="2:8">
      <c r="B116" s="106" t="s">
        <v>168</v>
      </c>
      <c r="C116" s="79"/>
      <c r="D116" s="79"/>
      <c r="E116" s="79"/>
      <c r="F116" s="79"/>
      <c r="G116" s="79"/>
      <c r="H116" s="79"/>
    </row>
    <row r="117" spans="2:8" hidden="1">
      <c r="B117" s="106"/>
      <c r="C117" s="79"/>
      <c r="D117" s="79"/>
      <c r="E117" s="79"/>
      <c r="F117" s="79"/>
      <c r="G117" s="79"/>
      <c r="H117" s="79"/>
    </row>
    <row r="118" spans="2:8" hidden="1">
      <c r="B118" s="106"/>
      <c r="C118" s="79"/>
      <c r="D118" s="79"/>
      <c r="E118" s="79"/>
      <c r="F118" s="79"/>
      <c r="G118" s="79"/>
      <c r="H118" s="79"/>
    </row>
    <row r="119" spans="2:8" hidden="1">
      <c r="B119" s="106"/>
      <c r="C119" s="79"/>
      <c r="D119" s="79"/>
      <c r="E119" s="79"/>
      <c r="F119" s="79"/>
      <c r="G119" s="79"/>
      <c r="H119" s="79"/>
    </row>
    <row r="120" spans="2:8" hidden="1">
      <c r="B120" s="106"/>
      <c r="C120" s="79"/>
      <c r="D120" s="79"/>
      <c r="E120" s="79"/>
      <c r="F120" s="79"/>
      <c r="G120" s="79"/>
      <c r="H120" s="79"/>
    </row>
    <row r="121" spans="2:8" hidden="1">
      <c r="B121" s="106"/>
      <c r="C121" s="79"/>
      <c r="D121" s="79"/>
      <c r="E121" s="79"/>
      <c r="F121" s="79"/>
      <c r="G121" s="79"/>
      <c r="H121" s="79"/>
    </row>
    <row r="122" spans="2:8" hidden="1">
      <c r="B122" s="106"/>
      <c r="C122" s="79"/>
      <c r="D122" s="79"/>
      <c r="E122" s="79"/>
      <c r="F122" s="79"/>
      <c r="G122" s="79"/>
      <c r="H122" s="79"/>
    </row>
    <row r="123" spans="2:8" hidden="1">
      <c r="B123" s="106"/>
      <c r="C123" s="79"/>
      <c r="D123" s="79"/>
      <c r="E123" s="79"/>
      <c r="F123" s="79"/>
      <c r="G123" s="79"/>
      <c r="H123" s="79"/>
    </row>
    <row r="124" spans="2:8" hidden="1">
      <c r="B124" s="106"/>
      <c r="C124" s="79"/>
      <c r="D124" s="79"/>
      <c r="E124" s="79"/>
      <c r="F124" s="79"/>
      <c r="G124" s="79"/>
      <c r="H124" s="79"/>
    </row>
    <row r="125" spans="2:8" hidden="1">
      <c r="B125" s="106"/>
      <c r="C125" s="79"/>
      <c r="D125" s="79"/>
      <c r="E125" s="79"/>
      <c r="F125" s="79"/>
      <c r="G125" s="79"/>
      <c r="H125" s="79"/>
    </row>
    <row r="126" spans="2:8" hidden="1">
      <c r="B126" s="106"/>
      <c r="C126" s="79"/>
      <c r="D126" s="79"/>
      <c r="E126" s="79"/>
      <c r="F126" s="79"/>
      <c r="G126" s="79"/>
      <c r="H126" s="79"/>
    </row>
    <row r="127" spans="2:8">
      <c r="B127" s="106" t="s">
        <v>169</v>
      </c>
      <c r="C127" s="79"/>
      <c r="D127" s="79"/>
      <c r="E127" s="79"/>
      <c r="F127" s="79"/>
      <c r="G127" s="79"/>
    </row>
    <row r="128" spans="2:8">
      <c r="B128" s="109" t="s">
        <v>75</v>
      </c>
      <c r="C128" s="77">
        <f>SUM(C108:C127)</f>
        <v>0</v>
      </c>
      <c r="D128" s="77">
        <f>SUM(D108:D127)</f>
        <v>0</v>
      </c>
      <c r="E128" s="77">
        <f>SUM(E108:E127)</f>
        <v>0</v>
      </c>
      <c r="F128" s="77">
        <f>SUM(F108:F127)</f>
        <v>0</v>
      </c>
      <c r="G128" s="77">
        <f>SUM(G108:G127)</f>
        <v>0</v>
      </c>
      <c r="H128" s="75"/>
    </row>
    <row r="129" spans="2:8">
      <c r="B129" s="59"/>
      <c r="C129" s="75"/>
      <c r="D129" s="75"/>
      <c r="E129" s="75"/>
      <c r="F129" s="75"/>
      <c r="G129" s="75"/>
      <c r="H129" s="75"/>
    </row>
    <row r="130" spans="2:8">
      <c r="B130" s="115" t="s">
        <v>170</v>
      </c>
      <c r="C130" s="80"/>
      <c r="D130" s="80"/>
      <c r="E130" s="80"/>
      <c r="F130" s="80"/>
      <c r="G130" s="80"/>
    </row>
    <row r="131" spans="2:8">
      <c r="B131" s="102" t="s">
        <v>1</v>
      </c>
      <c r="C131" s="64" t="str">
        <f>C6</f>
        <v>FY22</v>
      </c>
      <c r="D131" s="64" t="str">
        <f>D6</f>
        <v>FY23</v>
      </c>
      <c r="E131" s="64" t="str">
        <f>E6</f>
        <v>FY24</v>
      </c>
      <c r="F131" s="64" t="str">
        <f>F6</f>
        <v>FY25</v>
      </c>
      <c r="G131" s="64" t="str">
        <f>G6</f>
        <v>FY26</v>
      </c>
      <c r="H131" s="65"/>
    </row>
    <row r="132" spans="2:8" hidden="1">
      <c r="B132" s="60"/>
      <c r="H132" s="65"/>
    </row>
    <row r="133" spans="2:8" hidden="1">
      <c r="B133" s="60"/>
      <c r="H133" s="65"/>
    </row>
    <row r="134" spans="2:8" hidden="1">
      <c r="B134" s="60"/>
      <c r="H134" s="65"/>
    </row>
    <row r="135" spans="2:8" hidden="1">
      <c r="B135" s="60"/>
      <c r="H135" s="65"/>
    </row>
    <row r="136" spans="2:8" hidden="1">
      <c r="B136" s="60"/>
      <c r="H136" s="65"/>
    </row>
    <row r="137" spans="2:8" hidden="1">
      <c r="B137" s="60"/>
      <c r="H137" s="65"/>
    </row>
    <row r="138" spans="2:8" hidden="1">
      <c r="B138" s="60"/>
      <c r="H138" s="65"/>
    </row>
    <row r="139" spans="2:8" hidden="1">
      <c r="B139" s="60"/>
      <c r="H139" s="65"/>
    </row>
    <row r="140" spans="2:8" hidden="1">
      <c r="B140" s="60"/>
      <c r="H140" s="65"/>
    </row>
    <row r="141" spans="2:8" hidden="1">
      <c r="B141" s="60"/>
      <c r="H141" s="65"/>
    </row>
    <row r="142" spans="2:8">
      <c r="B142" s="60" t="s">
        <v>171</v>
      </c>
      <c r="H142" s="65"/>
    </row>
    <row r="143" spans="2:8">
      <c r="B143" s="109" t="s">
        <v>75</v>
      </c>
      <c r="C143" s="77">
        <f>SUM(C132:C142)</f>
        <v>0</v>
      </c>
      <c r="D143" s="77">
        <f>SUM(D132:D142)</f>
        <v>0</v>
      </c>
      <c r="E143" s="77">
        <f>SUM(E132:E142)</f>
        <v>0</v>
      </c>
      <c r="F143" s="77">
        <f>SUM(F132:F142)</f>
        <v>0</v>
      </c>
      <c r="G143" s="77">
        <f>SUM(G132:G142)</f>
        <v>0</v>
      </c>
    </row>
    <row r="144" spans="2:8">
      <c r="B144" s="59"/>
      <c r="C144" s="75"/>
      <c r="D144" s="75"/>
      <c r="E144" s="75"/>
      <c r="F144" s="75"/>
      <c r="G144" s="75"/>
      <c r="H144" s="78"/>
    </row>
    <row r="145" spans="2:8">
      <c r="B145" s="115" t="s">
        <v>172</v>
      </c>
      <c r="C145" s="80"/>
      <c r="D145" s="80"/>
      <c r="E145" s="80"/>
      <c r="F145" s="80"/>
      <c r="G145" s="80"/>
      <c r="H145" s="78"/>
    </row>
    <row r="146" spans="2:8">
      <c r="B146" s="102" t="s">
        <v>1</v>
      </c>
      <c r="C146" s="64" t="str">
        <f>C6</f>
        <v>FY22</v>
      </c>
      <c r="D146" s="64" t="str">
        <f>D6</f>
        <v>FY23</v>
      </c>
      <c r="E146" s="64" t="str">
        <f>E6</f>
        <v>FY24</v>
      </c>
      <c r="F146" s="64" t="str">
        <f>F6</f>
        <v>FY25</v>
      </c>
      <c r="G146" s="64" t="str">
        <f>G6</f>
        <v>FY26</v>
      </c>
      <c r="H146" s="78"/>
    </row>
    <row r="147" spans="2:8">
      <c r="B147" s="53" t="s">
        <v>173</v>
      </c>
      <c r="C147" s="78"/>
      <c r="D147" s="78"/>
      <c r="E147" s="78"/>
      <c r="F147" s="78"/>
      <c r="G147" s="78"/>
      <c r="H147" s="78"/>
    </row>
    <row r="148" spans="2:8">
      <c r="B148" s="53" t="s">
        <v>174</v>
      </c>
      <c r="C148" s="78"/>
      <c r="D148" s="78"/>
      <c r="E148" s="78"/>
      <c r="F148" s="78"/>
      <c r="G148" s="78"/>
      <c r="H148" s="78"/>
    </row>
    <row r="149" spans="2:8" hidden="1">
      <c r="C149" s="78"/>
      <c r="D149" s="78"/>
      <c r="E149" s="78"/>
      <c r="F149" s="78"/>
      <c r="G149" s="78"/>
      <c r="H149" s="78"/>
    </row>
    <row r="150" spans="2:8" hidden="1">
      <c r="C150" s="78"/>
      <c r="D150" s="78"/>
      <c r="E150" s="78"/>
      <c r="F150" s="78"/>
      <c r="G150" s="78"/>
      <c r="H150" s="78"/>
    </row>
    <row r="151" spans="2:8" hidden="1">
      <c r="C151" s="78"/>
      <c r="D151" s="78"/>
      <c r="E151" s="78"/>
      <c r="F151" s="78"/>
      <c r="G151" s="78"/>
      <c r="H151" s="78"/>
    </row>
    <row r="152" spans="2:8" hidden="1">
      <c r="C152" s="78"/>
      <c r="D152" s="78"/>
      <c r="E152" s="78"/>
      <c r="F152" s="78"/>
      <c r="G152" s="78"/>
      <c r="H152" s="78"/>
    </row>
    <row r="153" spans="2:8">
      <c r="B153" s="214" t="s">
        <v>175</v>
      </c>
      <c r="H153" s="78"/>
    </row>
    <row r="154" spans="2:8">
      <c r="B154" s="109" t="s">
        <v>75</v>
      </c>
      <c r="C154" s="77">
        <f>SUM(C147:C153)</f>
        <v>0</v>
      </c>
      <c r="D154" s="77">
        <f>SUM(D147:D153)</f>
        <v>0</v>
      </c>
      <c r="E154" s="77">
        <f>SUM(E147:E153)</f>
        <v>0</v>
      </c>
      <c r="F154" s="77">
        <f>SUM(F147:F153)</f>
        <v>0</v>
      </c>
      <c r="G154" s="77">
        <f>SUM(G147:G153)</f>
        <v>0</v>
      </c>
      <c r="H154" s="78"/>
    </row>
    <row r="155" spans="2:8">
      <c r="B155" s="59"/>
      <c r="C155" s="75"/>
      <c r="D155" s="75"/>
      <c r="E155" s="75"/>
      <c r="F155" s="75"/>
      <c r="G155" s="75"/>
      <c r="H155" s="78"/>
    </row>
    <row r="156" spans="2:8">
      <c r="B156" s="115" t="s">
        <v>292</v>
      </c>
      <c r="C156" s="80"/>
      <c r="D156" s="80"/>
      <c r="E156" s="80"/>
      <c r="F156" s="80"/>
      <c r="G156" s="80"/>
      <c r="H156" s="78"/>
    </row>
    <row r="157" spans="2:8">
      <c r="B157" s="102" t="s">
        <v>1</v>
      </c>
      <c r="C157" s="64" t="str">
        <f>C6</f>
        <v>FY22</v>
      </c>
      <c r="D157" s="64" t="str">
        <f>D6</f>
        <v>FY23</v>
      </c>
      <c r="E157" s="64" t="str">
        <f>E6</f>
        <v>FY24</v>
      </c>
      <c r="F157" s="64" t="str">
        <f>F6</f>
        <v>FY25</v>
      </c>
      <c r="G157" s="64" t="str">
        <f>G6</f>
        <v>FY26</v>
      </c>
      <c r="H157" s="78"/>
    </row>
    <row r="158" spans="2:8">
      <c r="B158" s="53" t="s">
        <v>293</v>
      </c>
      <c r="C158" s="78"/>
      <c r="D158" s="78"/>
      <c r="E158" s="78"/>
      <c r="F158" s="78"/>
      <c r="G158" s="78"/>
      <c r="H158" s="78"/>
    </row>
    <row r="159" spans="2:8">
      <c r="B159" s="109" t="s">
        <v>75</v>
      </c>
      <c r="C159" s="77">
        <f>SUM(C158)</f>
        <v>0</v>
      </c>
      <c r="D159" s="77">
        <f>SUM(D158)</f>
        <v>0</v>
      </c>
      <c r="E159" s="77">
        <f>SUM(E158)</f>
        <v>0</v>
      </c>
      <c r="F159" s="77">
        <f>SUM(F158)</f>
        <v>0</v>
      </c>
      <c r="G159" s="77">
        <f>SUM(G158)</f>
        <v>0</v>
      </c>
      <c r="H159" s="78"/>
    </row>
    <row r="160" spans="2:8">
      <c r="B160" s="59"/>
      <c r="C160" s="75"/>
      <c r="D160" s="75"/>
      <c r="E160" s="75"/>
      <c r="F160" s="75"/>
      <c r="G160" s="75"/>
      <c r="H160" s="78"/>
    </row>
    <row r="161" spans="2:8">
      <c r="B161" s="108" t="s">
        <v>82</v>
      </c>
      <c r="C161" s="76"/>
      <c r="D161" s="76"/>
      <c r="E161" s="76"/>
      <c r="F161" s="76"/>
      <c r="G161" s="76"/>
      <c r="H161" s="65"/>
    </row>
    <row r="162" spans="2:8">
      <c r="B162" s="102" t="s">
        <v>1</v>
      </c>
      <c r="C162" s="64" t="str">
        <f>C6</f>
        <v>FY22</v>
      </c>
      <c r="D162" s="64" t="str">
        <f>D6</f>
        <v>FY23</v>
      </c>
      <c r="E162" s="64" t="str">
        <f>E6</f>
        <v>FY24</v>
      </c>
      <c r="F162" s="64" t="str">
        <f>F6</f>
        <v>FY25</v>
      </c>
      <c r="G162" s="64" t="str">
        <f>G6</f>
        <v>FY26</v>
      </c>
      <c r="H162" s="65"/>
    </row>
    <row r="163" spans="2:8">
      <c r="B163" s="53" t="s">
        <v>176</v>
      </c>
      <c r="C163" s="78"/>
      <c r="D163" s="78"/>
      <c r="E163" s="78"/>
      <c r="F163" s="78"/>
      <c r="G163" s="78"/>
    </row>
    <row r="164" spans="2:8">
      <c r="B164" s="53" t="s">
        <v>177</v>
      </c>
      <c r="C164" s="78"/>
      <c r="D164" s="78"/>
      <c r="E164" s="78"/>
      <c r="F164" s="78"/>
      <c r="G164" s="78"/>
      <c r="H164" s="65"/>
    </row>
    <row r="165" spans="2:8" hidden="1">
      <c r="C165" s="78"/>
      <c r="D165" s="78"/>
      <c r="E165" s="78"/>
      <c r="F165" s="78"/>
      <c r="G165" s="78"/>
    </row>
    <row r="166" spans="2:8" hidden="1">
      <c r="C166" s="78"/>
      <c r="D166" s="78"/>
      <c r="E166" s="78"/>
      <c r="F166" s="78"/>
      <c r="G166" s="78"/>
    </row>
    <row r="167" spans="2:8" hidden="1">
      <c r="C167" s="78"/>
      <c r="D167" s="78"/>
      <c r="E167" s="78"/>
      <c r="F167" s="78"/>
      <c r="G167" s="78"/>
    </row>
    <row r="168" spans="2:8" hidden="1">
      <c r="C168" s="78"/>
      <c r="D168" s="78"/>
      <c r="E168" s="78"/>
      <c r="F168" s="78"/>
      <c r="G168" s="78"/>
    </row>
    <row r="169" spans="2:8" hidden="1">
      <c r="C169" s="78"/>
      <c r="D169" s="78"/>
      <c r="E169" s="78"/>
      <c r="F169" s="78"/>
      <c r="G169" s="78"/>
    </row>
    <row r="170" spans="2:8">
      <c r="B170" s="143" t="s">
        <v>178</v>
      </c>
      <c r="C170" s="142"/>
      <c r="D170" s="142"/>
      <c r="E170" s="142"/>
      <c r="F170" s="142"/>
      <c r="G170" s="142"/>
    </row>
    <row r="171" spans="2:8">
      <c r="B171" s="103" t="s">
        <v>75</v>
      </c>
      <c r="C171" s="81">
        <f>SUM(C163:C170)</f>
        <v>0</v>
      </c>
      <c r="D171" s="81">
        <f>SUM(D163:D170)</f>
        <v>0</v>
      </c>
      <c r="E171" s="81">
        <f>SUM(E163:E170)</f>
        <v>0</v>
      </c>
      <c r="F171" s="81">
        <f>SUM(F163:F170)</f>
        <v>0</v>
      </c>
      <c r="G171" s="81">
        <f>SUM(G163:G170)</f>
        <v>0</v>
      </c>
      <c r="H171" s="79"/>
    </row>
    <row r="172" spans="2:8">
      <c r="B172" s="57"/>
      <c r="C172" s="149"/>
      <c r="D172" s="149"/>
      <c r="E172" s="149"/>
      <c r="F172" s="149"/>
      <c r="G172" s="149"/>
      <c r="H172" s="79"/>
    </row>
    <row r="173" spans="2:8">
      <c r="B173" s="108" t="s">
        <v>83</v>
      </c>
      <c r="C173" s="76"/>
      <c r="D173" s="76"/>
      <c r="E173" s="76"/>
      <c r="F173" s="76"/>
      <c r="G173" s="76"/>
      <c r="H173" s="79"/>
    </row>
    <row r="174" spans="2:8">
      <c r="B174" s="102" t="s">
        <v>1</v>
      </c>
      <c r="C174" s="64" t="str">
        <f>C6</f>
        <v>FY22</v>
      </c>
      <c r="D174" s="64" t="str">
        <f>D6</f>
        <v>FY23</v>
      </c>
      <c r="E174" s="64" t="str">
        <f>E6</f>
        <v>FY24</v>
      </c>
      <c r="F174" s="64" t="str">
        <f>F6</f>
        <v>FY25</v>
      </c>
      <c r="G174" s="64" t="str">
        <f>G6</f>
        <v>FY26</v>
      </c>
      <c r="H174" s="79"/>
    </row>
    <row r="175" spans="2:8">
      <c r="B175" s="53" t="s">
        <v>179</v>
      </c>
      <c r="C175" s="78"/>
      <c r="D175" s="78"/>
      <c r="E175" s="78"/>
      <c r="F175" s="78"/>
      <c r="G175" s="78"/>
      <c r="H175" s="79"/>
    </row>
    <row r="176" spans="2:8">
      <c r="B176" s="53" t="s">
        <v>180</v>
      </c>
      <c r="C176" s="4"/>
      <c r="D176" s="4"/>
      <c r="E176" s="4"/>
      <c r="F176" s="4"/>
      <c r="G176" s="4"/>
      <c r="H176" s="79"/>
    </row>
    <row r="177" spans="2:8">
      <c r="B177" s="141" t="s">
        <v>181</v>
      </c>
      <c r="C177" s="78"/>
      <c r="D177" s="78"/>
      <c r="E177" s="78"/>
      <c r="F177" s="78"/>
      <c r="G177" s="78"/>
      <c r="H177" s="79"/>
    </row>
    <row r="178" spans="2:8" hidden="1">
      <c r="C178" s="78"/>
      <c r="D178" s="78"/>
      <c r="E178" s="78"/>
      <c r="F178" s="78"/>
      <c r="G178" s="78"/>
      <c r="H178" s="79"/>
    </row>
    <row r="179" spans="2:8" hidden="1">
      <c r="C179" s="78"/>
      <c r="D179" s="78"/>
      <c r="E179" s="78"/>
      <c r="F179" s="78"/>
      <c r="G179" s="78"/>
      <c r="H179" s="79"/>
    </row>
    <row r="180" spans="2:8" hidden="1">
      <c r="C180" s="78"/>
      <c r="D180" s="78"/>
      <c r="E180" s="78"/>
      <c r="F180" s="78"/>
      <c r="G180" s="78"/>
      <c r="H180" s="79"/>
    </row>
    <row r="181" spans="2:8" hidden="1">
      <c r="C181" s="78"/>
      <c r="D181" s="78"/>
      <c r="E181" s="78"/>
      <c r="F181" s="78"/>
      <c r="G181" s="78"/>
      <c r="H181" s="79"/>
    </row>
    <row r="182" spans="2:8" hidden="1">
      <c r="C182" s="78"/>
      <c r="D182" s="78"/>
      <c r="E182" s="78"/>
      <c r="F182" s="78"/>
      <c r="G182" s="78"/>
      <c r="H182" s="79"/>
    </row>
    <row r="183" spans="2:8" hidden="1">
      <c r="C183" s="78"/>
      <c r="D183" s="78"/>
      <c r="E183" s="78"/>
      <c r="F183" s="78"/>
      <c r="G183" s="78"/>
      <c r="H183" s="79"/>
    </row>
    <row r="184" spans="2:8">
      <c r="B184" s="53" t="s">
        <v>182</v>
      </c>
      <c r="C184" s="142"/>
      <c r="D184" s="142"/>
      <c r="E184" s="142"/>
      <c r="F184" s="142"/>
      <c r="G184" s="142"/>
      <c r="H184" s="79"/>
    </row>
    <row r="185" spans="2:8">
      <c r="B185" s="103" t="s">
        <v>75</v>
      </c>
      <c r="C185" s="81">
        <f>SUM(C175:C184)</f>
        <v>0</v>
      </c>
      <c r="D185" s="81">
        <f>SUM(D175:D184)</f>
        <v>0</v>
      </c>
      <c r="E185" s="81">
        <f>SUM(E175:E184)</f>
        <v>0</v>
      </c>
      <c r="F185" s="81">
        <f>SUM(F175:F184)</f>
        <v>0</v>
      </c>
      <c r="G185" s="81">
        <f>SUM(G175:G184)</f>
        <v>0</v>
      </c>
      <c r="H185" s="79"/>
    </row>
    <row r="186" spans="2:8">
      <c r="B186" s="57"/>
      <c r="C186" s="149"/>
      <c r="D186" s="149"/>
      <c r="E186" s="149"/>
      <c r="F186" s="149"/>
      <c r="G186" s="149"/>
      <c r="H186" s="79"/>
    </row>
    <row r="187" spans="2:8">
      <c r="B187" s="108" t="s">
        <v>80</v>
      </c>
      <c r="C187" s="76"/>
      <c r="D187" s="76"/>
      <c r="E187" s="76"/>
      <c r="F187" s="76"/>
      <c r="G187" s="76"/>
      <c r="H187" s="73"/>
    </row>
    <row r="188" spans="2:8">
      <c r="B188" s="102" t="s">
        <v>1</v>
      </c>
      <c r="C188" s="64" t="str">
        <f>C6</f>
        <v>FY22</v>
      </c>
      <c r="D188" s="64" t="str">
        <f>D6</f>
        <v>FY23</v>
      </c>
      <c r="E188" s="64" t="str">
        <f>E6</f>
        <v>FY24</v>
      </c>
      <c r="F188" s="64" t="str">
        <f>F6</f>
        <v>FY25</v>
      </c>
      <c r="G188" s="64" t="str">
        <f>G6</f>
        <v>FY26</v>
      </c>
    </row>
    <row r="189" spans="2:8">
      <c r="B189" s="105" t="s">
        <v>183</v>
      </c>
    </row>
    <row r="190" spans="2:8">
      <c r="B190" s="105" t="s">
        <v>184</v>
      </c>
      <c r="C190" s="144"/>
      <c r="D190" s="144"/>
      <c r="E190" s="144"/>
      <c r="F190" s="144"/>
      <c r="G190" s="144"/>
      <c r="H190" s="65"/>
    </row>
    <row r="191" spans="2:8" hidden="1">
      <c r="B191" s="105"/>
    </row>
    <row r="192" spans="2:8" hidden="1">
      <c r="B192" s="105"/>
    </row>
    <row r="193" spans="2:9" hidden="1">
      <c r="B193" s="105"/>
    </row>
    <row r="194" spans="2:9" hidden="1">
      <c r="B194" s="105"/>
    </row>
    <row r="195" spans="2:9" hidden="1">
      <c r="B195" s="105"/>
    </row>
    <row r="196" spans="2:9" hidden="1">
      <c r="B196" s="105"/>
    </row>
    <row r="197" spans="2:9">
      <c r="B197" s="105" t="s">
        <v>185</v>
      </c>
      <c r="C197" s="4"/>
      <c r="D197" s="4"/>
      <c r="E197" s="4"/>
      <c r="F197" s="4"/>
      <c r="G197" s="4"/>
      <c r="I197" s="226"/>
    </row>
    <row r="198" spans="2:9">
      <c r="B198" s="109" t="s">
        <v>186</v>
      </c>
      <c r="C198" s="72">
        <f>SUM(C189:C197)</f>
        <v>0</v>
      </c>
      <c r="D198" s="72">
        <f>SUM(D189:D197)</f>
        <v>0</v>
      </c>
      <c r="E198" s="72">
        <f>SUM(E189:E197)</f>
        <v>0</v>
      </c>
      <c r="F198" s="72">
        <f>SUM(F189:F197)</f>
        <v>0</v>
      </c>
      <c r="G198" s="72">
        <f>SUM(G189:G197)</f>
        <v>0</v>
      </c>
    </row>
    <row r="199" spans="2:9">
      <c r="B199" s="60"/>
      <c r="H199" s="62"/>
    </row>
    <row r="200" spans="2:9">
      <c r="B200" s="115" t="s">
        <v>78</v>
      </c>
      <c r="C200" s="80"/>
      <c r="D200" s="80"/>
      <c r="E200" s="80"/>
      <c r="F200" s="80"/>
      <c r="G200" s="80"/>
    </row>
    <row r="201" spans="2:9">
      <c r="B201" s="102" t="s">
        <v>1</v>
      </c>
      <c r="C201" s="64" t="str">
        <f>C6</f>
        <v>FY22</v>
      </c>
      <c r="D201" s="64" t="str">
        <f>D6</f>
        <v>FY23</v>
      </c>
      <c r="E201" s="64" t="str">
        <f>E6</f>
        <v>FY24</v>
      </c>
      <c r="F201" s="64" t="str">
        <f>F6</f>
        <v>FY25</v>
      </c>
      <c r="G201" s="64" t="str">
        <f>G6</f>
        <v>FY26</v>
      </c>
    </row>
    <row r="202" spans="2:9">
      <c r="B202" s="145" t="s">
        <v>187</v>
      </c>
      <c r="H202" s="65"/>
    </row>
    <row r="203" spans="2:9">
      <c r="B203" s="146" t="s">
        <v>188</v>
      </c>
      <c r="H203" s="78"/>
    </row>
    <row r="204" spans="2:9">
      <c r="B204" s="103" t="s">
        <v>75</v>
      </c>
      <c r="C204" s="66">
        <f>C202-C203</f>
        <v>0</v>
      </c>
      <c r="D204" s="66">
        <f>D202-D203</f>
        <v>0</v>
      </c>
      <c r="E204" s="66">
        <f>E202-E203</f>
        <v>0</v>
      </c>
      <c r="F204" s="66">
        <f>F202-F203</f>
        <v>0</v>
      </c>
      <c r="G204" s="66">
        <f>G202-G203</f>
        <v>0</v>
      </c>
      <c r="H204" s="78"/>
    </row>
    <row r="206" spans="2:9">
      <c r="B206" s="115" t="s">
        <v>189</v>
      </c>
      <c r="C206" s="80"/>
      <c r="D206" s="80"/>
      <c r="E206" s="80"/>
      <c r="F206" s="80"/>
      <c r="G206" s="80"/>
      <c r="H206" s="62"/>
    </row>
    <row r="207" spans="2:9">
      <c r="B207" s="102" t="s">
        <v>1</v>
      </c>
      <c r="C207" s="64" t="str">
        <f>C6</f>
        <v>FY22</v>
      </c>
      <c r="D207" s="64" t="str">
        <f>D6</f>
        <v>FY23</v>
      </c>
      <c r="E207" s="64" t="str">
        <f>E6</f>
        <v>FY24</v>
      </c>
      <c r="F207" s="64" t="str">
        <f>F6</f>
        <v>FY25</v>
      </c>
      <c r="G207" s="64" t="str">
        <f>G6</f>
        <v>FY26</v>
      </c>
    </row>
    <row r="208" spans="2:9">
      <c r="B208" s="53" t="s">
        <v>190</v>
      </c>
      <c r="C208" s="4"/>
      <c r="D208" s="4"/>
      <c r="E208" s="4"/>
      <c r="F208" s="4"/>
      <c r="G208" s="4"/>
    </row>
    <row r="209" spans="2:8">
      <c r="B209" s="53" t="s">
        <v>191</v>
      </c>
      <c r="C209" s="78"/>
      <c r="D209" s="78"/>
      <c r="E209" s="78"/>
      <c r="F209" s="78"/>
      <c r="G209" s="78"/>
      <c r="H209" s="65"/>
    </row>
    <row r="210" spans="2:8" hidden="1">
      <c r="C210" s="4"/>
      <c r="D210" s="4"/>
      <c r="E210" s="4"/>
      <c r="F210" s="4"/>
      <c r="G210" s="4"/>
    </row>
    <row r="211" spans="2:8" hidden="1">
      <c r="C211" s="4"/>
      <c r="D211" s="4"/>
      <c r="E211" s="4"/>
      <c r="F211" s="4"/>
      <c r="G211" s="4"/>
    </row>
    <row r="212" spans="2:8" hidden="1">
      <c r="C212" s="4"/>
      <c r="D212" s="4"/>
      <c r="E212" s="4"/>
      <c r="F212" s="4"/>
      <c r="G212" s="4"/>
    </row>
    <row r="213" spans="2:8" hidden="1">
      <c r="C213" s="4"/>
      <c r="D213" s="4"/>
      <c r="E213" s="4"/>
      <c r="F213" s="4"/>
      <c r="G213" s="4"/>
    </row>
    <row r="214" spans="2:8" hidden="1">
      <c r="C214" s="4"/>
      <c r="D214" s="4"/>
      <c r="E214" s="4"/>
      <c r="F214" s="4"/>
      <c r="G214" s="4"/>
    </row>
    <row r="215" spans="2:8" hidden="1">
      <c r="C215" s="4"/>
      <c r="D215" s="4"/>
      <c r="E215" s="4"/>
      <c r="F215" s="4"/>
      <c r="G215" s="4"/>
    </row>
    <row r="216" spans="2:8" hidden="1">
      <c r="C216" s="4"/>
      <c r="D216" s="4"/>
      <c r="E216" s="4"/>
      <c r="F216" s="4"/>
      <c r="G216" s="4"/>
    </row>
    <row r="217" spans="2:8" hidden="1">
      <c r="C217" s="4"/>
      <c r="D217" s="4"/>
      <c r="E217" s="4"/>
      <c r="F217" s="4"/>
      <c r="G217" s="4"/>
    </row>
    <row r="218" spans="2:8" hidden="1">
      <c r="C218" s="4"/>
      <c r="D218" s="4"/>
      <c r="E218" s="4"/>
      <c r="F218" s="4"/>
      <c r="G218" s="4"/>
    </row>
    <row r="219" spans="2:8" hidden="1">
      <c r="C219" s="4"/>
      <c r="D219" s="4"/>
      <c r="E219" s="4"/>
      <c r="F219" s="4"/>
      <c r="G219" s="4"/>
    </row>
    <row r="220" spans="2:8">
      <c r="B220" s="116" t="s">
        <v>192</v>
      </c>
      <c r="H220" s="78"/>
    </row>
    <row r="221" spans="2:8">
      <c r="B221" s="103" t="s">
        <v>75</v>
      </c>
      <c r="C221" s="66">
        <f>SUM(C208:C220)</f>
        <v>0</v>
      </c>
      <c r="D221" s="66">
        <f>SUM(D208:D220)</f>
        <v>0</v>
      </c>
      <c r="E221" s="66">
        <f>SUM(E208:E220)</f>
        <v>0</v>
      </c>
      <c r="F221" s="66">
        <f>SUM(F208:F220)</f>
        <v>0</v>
      </c>
      <c r="G221" s="66">
        <f>SUM(G208:G220)</f>
        <v>0</v>
      </c>
      <c r="H221" s="78"/>
    </row>
    <row r="222" spans="2:8">
      <c r="H222" s="62"/>
    </row>
    <row r="223" spans="2:8">
      <c r="B223" s="115" t="s">
        <v>193</v>
      </c>
      <c r="C223" s="80"/>
      <c r="D223" s="80"/>
      <c r="E223" s="80"/>
      <c r="F223" s="80"/>
      <c r="G223" s="80"/>
      <c r="H223" s="62"/>
    </row>
    <row r="224" spans="2:8">
      <c r="B224" s="102" t="s">
        <v>1</v>
      </c>
      <c r="C224" s="64" t="str">
        <f>C6</f>
        <v>FY22</v>
      </c>
      <c r="D224" s="64" t="str">
        <f>D6</f>
        <v>FY23</v>
      </c>
      <c r="E224" s="64" t="str">
        <f>E6</f>
        <v>FY24</v>
      </c>
      <c r="F224" s="64" t="str">
        <f>F6</f>
        <v>FY25</v>
      </c>
      <c r="G224" s="64" t="str">
        <f>G6</f>
        <v>FY26</v>
      </c>
      <c r="H224" s="62"/>
    </row>
    <row r="225" spans="2:8">
      <c r="B225" s="53" t="s">
        <v>194</v>
      </c>
      <c r="C225" s="78"/>
      <c r="D225" s="78"/>
      <c r="E225" s="78"/>
      <c r="F225" s="78"/>
      <c r="G225" s="78"/>
    </row>
    <row r="226" spans="2:8">
      <c r="B226" s="53" t="s">
        <v>195</v>
      </c>
      <c r="C226" s="78"/>
      <c r="D226" s="78"/>
      <c r="E226" s="78"/>
      <c r="F226" s="78"/>
      <c r="G226" s="78"/>
    </row>
    <row r="227" spans="2:8" hidden="1">
      <c r="C227" s="78"/>
      <c r="D227" s="78"/>
      <c r="E227" s="78"/>
      <c r="F227" s="78"/>
      <c r="G227" s="78"/>
    </row>
    <row r="228" spans="2:8" hidden="1">
      <c r="C228" s="78"/>
      <c r="D228" s="78"/>
      <c r="E228" s="78"/>
      <c r="F228" s="78"/>
      <c r="G228" s="78"/>
    </row>
    <row r="229" spans="2:8" hidden="1">
      <c r="C229" s="78"/>
      <c r="D229" s="78"/>
      <c r="E229" s="78"/>
      <c r="F229" s="78"/>
      <c r="G229" s="78"/>
    </row>
    <row r="230" spans="2:8" hidden="1">
      <c r="C230" s="78"/>
      <c r="D230" s="78"/>
      <c r="E230" s="78"/>
      <c r="F230" s="78"/>
      <c r="G230" s="78"/>
    </row>
    <row r="231" spans="2:8" hidden="1">
      <c r="C231" s="78"/>
      <c r="D231" s="78"/>
      <c r="E231" s="78"/>
      <c r="F231" s="78"/>
      <c r="G231" s="78"/>
    </row>
    <row r="232" spans="2:8" hidden="1">
      <c r="C232" s="78"/>
      <c r="D232" s="78"/>
      <c r="E232" s="78"/>
      <c r="F232" s="78"/>
      <c r="G232" s="78"/>
    </row>
    <row r="233" spans="2:8" hidden="1">
      <c r="C233" s="78"/>
      <c r="D233" s="78"/>
      <c r="E233" s="78"/>
      <c r="F233" s="78"/>
      <c r="G233" s="78"/>
    </row>
    <row r="234" spans="2:8" hidden="1">
      <c r="C234" s="78"/>
      <c r="D234" s="78"/>
      <c r="E234" s="78"/>
      <c r="F234" s="78"/>
      <c r="G234" s="78"/>
    </row>
    <row r="235" spans="2:8" hidden="1">
      <c r="C235" s="78"/>
      <c r="D235" s="78"/>
      <c r="E235" s="78"/>
      <c r="F235" s="78"/>
      <c r="G235" s="78"/>
    </row>
    <row r="236" spans="2:8" hidden="1">
      <c r="C236" s="78"/>
      <c r="D236" s="78"/>
      <c r="E236" s="78"/>
      <c r="F236" s="78"/>
      <c r="G236" s="78"/>
    </row>
    <row r="237" spans="2:8">
      <c r="B237" s="53" t="s">
        <v>196</v>
      </c>
      <c r="C237" s="78"/>
      <c r="D237" s="78"/>
      <c r="E237" s="78"/>
      <c r="F237" s="78"/>
      <c r="G237" s="78"/>
      <c r="H237" s="65"/>
    </row>
    <row r="238" spans="2:8" ht="16.5" customHeight="1" thickBot="1">
      <c r="B238" s="117" t="s">
        <v>75</v>
      </c>
      <c r="C238" s="82">
        <f>SUM(C225:C237)</f>
        <v>0</v>
      </c>
      <c r="D238" s="82">
        <f>SUM(D225:D237)</f>
        <v>0</v>
      </c>
      <c r="E238" s="82">
        <f>SUM(E225:E237)</f>
        <v>0</v>
      </c>
      <c r="F238" s="82">
        <f>SUM(F225:F237)</f>
        <v>0</v>
      </c>
      <c r="G238" s="82">
        <f>SUM(G225:G237)</f>
        <v>0</v>
      </c>
      <c r="H238" s="79"/>
    </row>
    <row r="239" spans="2:8">
      <c r="B239" s="57"/>
      <c r="C239" s="62"/>
      <c r="D239" s="62"/>
      <c r="E239" s="62"/>
      <c r="F239" s="62"/>
      <c r="G239" s="62"/>
      <c r="H239" s="75"/>
    </row>
    <row r="240" spans="2:8">
      <c r="B240" s="108" t="s">
        <v>42</v>
      </c>
      <c r="C240" s="76"/>
      <c r="D240" s="76"/>
      <c r="E240" s="76"/>
      <c r="F240" s="76"/>
      <c r="G240" s="76"/>
    </row>
    <row r="241" spans="2:8">
      <c r="B241" s="102" t="s">
        <v>1</v>
      </c>
      <c r="C241" s="64" t="str">
        <f>C6</f>
        <v>FY22</v>
      </c>
      <c r="D241" s="64" t="str">
        <f>D6</f>
        <v>FY23</v>
      </c>
      <c r="E241" s="64" t="str">
        <f>E6</f>
        <v>FY24</v>
      </c>
      <c r="F241" s="64" t="str">
        <f>F6</f>
        <v>FY25</v>
      </c>
      <c r="G241" s="64" t="str">
        <f>G6</f>
        <v>FY26</v>
      </c>
    </row>
    <row r="242" spans="2:8">
      <c r="B242" s="105" t="s">
        <v>197</v>
      </c>
      <c r="C242" s="70"/>
      <c r="D242" s="70"/>
      <c r="E242" s="70"/>
      <c r="F242" s="70"/>
      <c r="G242" s="70"/>
    </row>
    <row r="243" spans="2:8">
      <c r="B243" s="105" t="s">
        <v>198</v>
      </c>
      <c r="C243" s="70"/>
      <c r="D243" s="70"/>
      <c r="E243" s="70"/>
      <c r="F243" s="70"/>
      <c r="G243" s="70"/>
    </row>
    <row r="244" spans="2:8" hidden="1">
      <c r="B244" s="105"/>
      <c r="C244" s="70"/>
      <c r="D244" s="70"/>
      <c r="E244" s="70"/>
      <c r="F244" s="70"/>
      <c r="G244" s="70"/>
    </row>
    <row r="245" spans="2:8" hidden="1">
      <c r="B245" s="105"/>
      <c r="C245" s="70"/>
      <c r="D245" s="70"/>
      <c r="E245" s="70"/>
      <c r="F245" s="70"/>
      <c r="G245" s="70"/>
    </row>
    <row r="246" spans="2:8" hidden="1">
      <c r="B246" s="105"/>
      <c r="C246" s="70"/>
      <c r="D246" s="70"/>
      <c r="E246" s="70"/>
      <c r="F246" s="70"/>
      <c r="G246" s="70"/>
    </row>
    <row r="247" spans="2:8" hidden="1">
      <c r="B247" s="105"/>
      <c r="C247" s="70"/>
      <c r="D247" s="70"/>
      <c r="E247" s="70"/>
      <c r="F247" s="70"/>
      <c r="G247" s="70"/>
    </row>
    <row r="248" spans="2:8" hidden="1">
      <c r="B248" s="105"/>
      <c r="C248" s="70"/>
      <c r="D248" s="70"/>
      <c r="E248" s="70"/>
      <c r="F248" s="70"/>
      <c r="G248" s="70"/>
    </row>
    <row r="249" spans="2:8">
      <c r="B249" s="105" t="s">
        <v>199</v>
      </c>
      <c r="C249" s="4"/>
      <c r="D249" s="4"/>
      <c r="E249" s="4"/>
      <c r="F249" s="4"/>
      <c r="G249" s="4"/>
      <c r="H249" s="65"/>
    </row>
    <row r="250" spans="2:8">
      <c r="B250" s="109" t="s">
        <v>75</v>
      </c>
      <c r="C250" s="77">
        <f>SUM(C242:C249)</f>
        <v>0</v>
      </c>
      <c r="D250" s="77">
        <f>SUM(D242:D249)</f>
        <v>0</v>
      </c>
      <c r="E250" s="77">
        <f>SUM(E242:E249)</f>
        <v>0</v>
      </c>
      <c r="F250" s="77">
        <f>SUM(F242:F249)</f>
        <v>0</v>
      </c>
      <c r="G250" s="77">
        <f>SUM(G242:G249)</f>
        <v>0</v>
      </c>
      <c r="H250" s="79"/>
    </row>
    <row r="251" spans="2:8">
      <c r="B251" s="60"/>
      <c r="H251" s="79"/>
    </row>
    <row r="252" spans="2:8">
      <c r="B252" s="115" t="s">
        <v>200</v>
      </c>
      <c r="C252" s="80"/>
      <c r="D252" s="80"/>
      <c r="E252" s="80"/>
      <c r="F252" s="80"/>
      <c r="G252" s="80"/>
      <c r="H252" s="79"/>
    </row>
    <row r="253" spans="2:8">
      <c r="B253" s="57" t="s">
        <v>1</v>
      </c>
      <c r="C253" s="64" t="str">
        <f>C6</f>
        <v>FY22</v>
      </c>
      <c r="D253" s="64" t="str">
        <f>D6</f>
        <v>FY23</v>
      </c>
      <c r="E253" s="64" t="str">
        <f>E6</f>
        <v>FY24</v>
      </c>
      <c r="F253" s="64" t="str">
        <f>F6</f>
        <v>FY25</v>
      </c>
      <c r="G253" s="64" t="str">
        <f>G6</f>
        <v>FY26</v>
      </c>
      <c r="H253" s="75"/>
    </row>
    <row r="254" spans="2:8">
      <c r="B254" s="114" t="s">
        <v>201</v>
      </c>
      <c r="C254" s="79"/>
      <c r="D254" s="79"/>
      <c r="E254" s="79"/>
      <c r="F254" s="79"/>
      <c r="G254" s="79"/>
    </row>
    <row r="255" spans="2:8">
      <c r="B255" s="105" t="s">
        <v>202</v>
      </c>
      <c r="C255" s="79"/>
      <c r="D255" s="79"/>
      <c r="E255" s="79"/>
      <c r="F255" s="79"/>
      <c r="G255" s="79"/>
    </row>
    <row r="256" spans="2:8">
      <c r="B256" s="105" t="s">
        <v>203</v>
      </c>
      <c r="H256" s="65"/>
    </row>
    <row r="257" spans="2:8" hidden="1">
      <c r="B257" s="114"/>
      <c r="C257" s="79"/>
      <c r="D257" s="79"/>
      <c r="E257" s="79"/>
      <c r="F257" s="79"/>
      <c r="G257" s="79"/>
    </row>
    <row r="258" spans="2:8" hidden="1">
      <c r="B258" s="114"/>
      <c r="C258" s="79"/>
      <c r="D258" s="79"/>
      <c r="E258" s="79"/>
      <c r="F258" s="79"/>
      <c r="G258" s="79"/>
    </row>
    <row r="259" spans="2:8" hidden="1">
      <c r="B259" s="114"/>
      <c r="C259" s="79"/>
      <c r="D259" s="79"/>
      <c r="E259" s="79"/>
      <c r="F259" s="79"/>
      <c r="G259" s="79"/>
    </row>
    <row r="260" spans="2:8" hidden="1">
      <c r="B260" s="114"/>
      <c r="C260" s="79"/>
      <c r="D260" s="79"/>
      <c r="E260" s="79"/>
      <c r="F260" s="79"/>
      <c r="G260" s="79"/>
    </row>
    <row r="261" spans="2:8" hidden="1">
      <c r="B261" s="114"/>
      <c r="C261" s="79"/>
      <c r="D261" s="79"/>
      <c r="E261" s="79"/>
      <c r="F261" s="79"/>
      <c r="G261" s="79"/>
    </row>
    <row r="262" spans="2:8" hidden="1">
      <c r="B262" s="114"/>
      <c r="C262" s="79"/>
      <c r="D262" s="79"/>
      <c r="E262" s="79"/>
      <c r="F262" s="79"/>
      <c r="G262" s="79"/>
    </row>
    <row r="263" spans="2:8" hidden="1">
      <c r="B263" s="114"/>
      <c r="C263" s="79"/>
      <c r="D263" s="79"/>
      <c r="E263" s="79"/>
      <c r="F263" s="79"/>
      <c r="G263" s="79"/>
    </row>
    <row r="264" spans="2:8" hidden="1">
      <c r="B264" s="114"/>
      <c r="C264" s="79"/>
      <c r="D264" s="79"/>
      <c r="E264" s="79"/>
      <c r="F264" s="79"/>
      <c r="G264" s="79"/>
    </row>
    <row r="265" spans="2:8" hidden="1">
      <c r="B265" s="114"/>
      <c r="C265" s="79"/>
      <c r="D265" s="79"/>
      <c r="E265" s="79"/>
      <c r="F265" s="79"/>
      <c r="G265" s="79"/>
    </row>
    <row r="266" spans="2:8" hidden="1">
      <c r="B266" s="114"/>
      <c r="C266" s="79"/>
      <c r="D266" s="79"/>
      <c r="E266" s="79"/>
      <c r="F266" s="79"/>
      <c r="G266" s="79"/>
    </row>
    <row r="267" spans="2:8">
      <c r="B267" s="53" t="s">
        <v>204</v>
      </c>
      <c r="C267" s="70"/>
      <c r="D267" s="70"/>
      <c r="E267" s="70"/>
      <c r="F267" s="70"/>
      <c r="G267" s="70"/>
    </row>
    <row r="268" spans="2:8">
      <c r="B268" s="109" t="s">
        <v>75</v>
      </c>
      <c r="C268" s="77">
        <f>SUM(C254:C267)</f>
        <v>0</v>
      </c>
      <c r="D268" s="77">
        <f>SUM(D254:D267)</f>
        <v>0</v>
      </c>
      <c r="E268" s="77">
        <f>SUM(E254:E267)</f>
        <v>0</v>
      </c>
      <c r="F268" s="77">
        <f>SUM(F254:F267)</f>
        <v>0</v>
      </c>
      <c r="G268" s="77">
        <f>SUM(G254:G267)</f>
        <v>0</v>
      </c>
    </row>
    <row r="269" spans="2:8">
      <c r="B269" s="51" t="s">
        <v>45</v>
      </c>
      <c r="C269" s="63"/>
      <c r="D269" s="63"/>
      <c r="E269" s="63"/>
      <c r="F269" s="63"/>
      <c r="G269" s="63"/>
    </row>
    <row r="270" spans="2:8">
      <c r="B270" s="102" t="s">
        <v>1</v>
      </c>
      <c r="C270" s="64" t="str">
        <f>C6</f>
        <v>FY22</v>
      </c>
      <c r="D270" s="64" t="str">
        <f>D6</f>
        <v>FY23</v>
      </c>
      <c r="E270" s="64" t="str">
        <f>E6</f>
        <v>FY24</v>
      </c>
      <c r="F270" s="64" t="str">
        <f>F6</f>
        <v>FY25</v>
      </c>
      <c r="G270" s="64" t="str">
        <f>G6</f>
        <v>FY26</v>
      </c>
      <c r="H270" s="73"/>
    </row>
    <row r="271" spans="2:8">
      <c r="B271" s="60" t="s">
        <v>205</v>
      </c>
      <c r="C271" s="83"/>
      <c r="D271" s="83"/>
      <c r="E271" s="83"/>
      <c r="F271" s="83"/>
      <c r="G271" s="83"/>
      <c r="H271" s="73"/>
    </row>
    <row r="272" spans="2:8">
      <c r="B272" s="60" t="s">
        <v>206</v>
      </c>
      <c r="C272" s="83"/>
      <c r="D272" s="83"/>
      <c r="E272" s="83"/>
      <c r="F272" s="83"/>
      <c r="G272" s="83"/>
      <c r="H272" s="73"/>
    </row>
    <row r="273" spans="2:8">
      <c r="B273" s="60" t="s">
        <v>207</v>
      </c>
      <c r="C273" s="83">
        <f>C274-C275</f>
        <v>0</v>
      </c>
      <c r="D273" s="83">
        <f>D274-D275</f>
        <v>0</v>
      </c>
      <c r="E273" s="83">
        <f>E274-E275</f>
        <v>0</v>
      </c>
      <c r="F273" s="83">
        <f>F274-F275</f>
        <v>0</v>
      </c>
      <c r="G273" s="83">
        <f>G274-G275</f>
        <v>0</v>
      </c>
    </row>
    <row r="274" spans="2:8">
      <c r="B274" s="118" t="s">
        <v>208</v>
      </c>
      <c r="C274" s="83"/>
      <c r="D274" s="83"/>
      <c r="E274" s="83"/>
      <c r="F274" s="83"/>
      <c r="G274" s="83"/>
      <c r="H274" s="65"/>
    </row>
    <row r="275" spans="2:8">
      <c r="B275" s="118" t="s">
        <v>209</v>
      </c>
      <c r="H275" s="79"/>
    </row>
    <row r="276" spans="2:8">
      <c r="B276" s="109" t="s">
        <v>75</v>
      </c>
      <c r="C276" s="72">
        <f>SUM(C271:C272)+C273</f>
        <v>0</v>
      </c>
      <c r="D276" s="72">
        <f>SUM(D271:D272)+D273</f>
        <v>0</v>
      </c>
      <c r="E276" s="72">
        <f>SUM(E271:E272)+E273</f>
        <v>0</v>
      </c>
      <c r="F276" s="72">
        <f>SUM(F271:F272)+F273</f>
        <v>0</v>
      </c>
      <c r="G276" s="72">
        <f>SUM(G271:G272)+G273</f>
        <v>0</v>
      </c>
      <c r="H276" s="79"/>
    </row>
    <row r="278" spans="2:8">
      <c r="B278" s="51" t="s">
        <v>210</v>
      </c>
      <c r="C278" s="63"/>
      <c r="D278" s="63"/>
      <c r="E278" s="63"/>
      <c r="F278" s="63"/>
      <c r="G278" s="63"/>
      <c r="H278" s="79"/>
    </row>
    <row r="279" spans="2:8">
      <c r="B279" s="102" t="s">
        <v>1</v>
      </c>
      <c r="C279" s="64" t="str">
        <f>C6</f>
        <v>FY22</v>
      </c>
      <c r="D279" s="64" t="str">
        <f>D6</f>
        <v>FY23</v>
      </c>
      <c r="E279" s="64" t="str">
        <f>E6</f>
        <v>FY24</v>
      </c>
      <c r="F279" s="64" t="str">
        <f>F6</f>
        <v>FY25</v>
      </c>
      <c r="G279" s="64" t="str">
        <f>G6</f>
        <v>FY26</v>
      </c>
      <c r="H279" s="79"/>
    </row>
    <row r="280" spans="2:8">
      <c r="B280" s="105" t="s">
        <v>211</v>
      </c>
      <c r="C280" s="79"/>
      <c r="D280" s="79"/>
      <c r="E280" s="79"/>
      <c r="F280" s="79"/>
      <c r="G280" s="79"/>
      <c r="H280" s="79"/>
    </row>
    <row r="281" spans="2:8">
      <c r="B281" s="105" t="s">
        <v>212</v>
      </c>
      <c r="H281" s="79"/>
    </row>
    <row r="282" spans="2:8">
      <c r="B282" s="47" t="s">
        <v>213</v>
      </c>
      <c r="H282" s="79"/>
    </row>
    <row r="283" spans="2:8">
      <c r="B283" s="106" t="s">
        <v>214</v>
      </c>
      <c r="C283" s="79"/>
      <c r="D283" s="79"/>
      <c r="E283" s="79"/>
      <c r="F283" s="79"/>
      <c r="G283" s="79"/>
      <c r="H283" s="79"/>
    </row>
    <row r="284" spans="2:8">
      <c r="B284" s="106" t="s">
        <v>215</v>
      </c>
      <c r="C284" s="79"/>
      <c r="D284" s="79"/>
      <c r="E284" s="79"/>
      <c r="F284" s="79"/>
      <c r="G284" s="79"/>
      <c r="H284" s="84"/>
    </row>
    <row r="285" spans="2:8">
      <c r="B285" s="106" t="s">
        <v>216</v>
      </c>
      <c r="C285" s="79"/>
      <c r="D285" s="79"/>
      <c r="E285" s="79"/>
      <c r="F285" s="79"/>
      <c r="G285" s="79"/>
      <c r="H285" s="84"/>
    </row>
    <row r="286" spans="2:8">
      <c r="B286" s="106" t="s">
        <v>217</v>
      </c>
      <c r="C286" s="79"/>
      <c r="D286" s="79"/>
      <c r="E286" s="79"/>
      <c r="F286" s="79"/>
      <c r="G286" s="79"/>
      <c r="H286" s="84"/>
    </row>
    <row r="287" spans="2:8">
      <c r="B287" s="47" t="s">
        <v>51</v>
      </c>
      <c r="C287" s="79"/>
      <c r="D287" s="79"/>
      <c r="E287" s="79"/>
      <c r="F287" s="79"/>
      <c r="G287" s="79"/>
      <c r="H287" s="84"/>
    </row>
    <row r="288" spans="2:8">
      <c r="B288" s="106" t="s">
        <v>218</v>
      </c>
      <c r="C288" s="79"/>
      <c r="D288" s="79"/>
      <c r="E288" s="79"/>
      <c r="F288" s="79"/>
      <c r="G288" s="79"/>
      <c r="H288" s="75"/>
    </row>
    <row r="289" spans="2:43">
      <c r="B289" s="106" t="s">
        <v>219</v>
      </c>
      <c r="C289" s="79"/>
      <c r="D289" s="79"/>
      <c r="E289" s="79"/>
      <c r="F289" s="79"/>
      <c r="G289" s="79"/>
    </row>
    <row r="290" spans="2:43">
      <c r="B290" s="106" t="s">
        <v>220</v>
      </c>
      <c r="C290" s="79"/>
      <c r="D290" s="79"/>
      <c r="E290" s="79"/>
      <c r="F290" s="79"/>
      <c r="G290" s="79"/>
    </row>
    <row r="291" spans="2:43">
      <c r="B291" s="106" t="s">
        <v>221</v>
      </c>
      <c r="C291" s="79"/>
      <c r="D291" s="79"/>
      <c r="E291" s="79"/>
      <c r="F291" s="79"/>
      <c r="G291" s="79"/>
      <c r="H291" s="65"/>
    </row>
    <row r="292" spans="2:43" hidden="1">
      <c r="B292" s="105"/>
      <c r="C292" s="79"/>
      <c r="D292" s="79"/>
      <c r="E292" s="79"/>
      <c r="F292" s="79"/>
      <c r="G292" s="79"/>
      <c r="H292" s="79"/>
    </row>
    <row r="293" spans="2:43" hidden="1">
      <c r="B293" s="105"/>
      <c r="C293" s="79"/>
      <c r="D293" s="79"/>
      <c r="E293" s="79"/>
      <c r="F293" s="79"/>
      <c r="G293" s="79"/>
      <c r="H293" s="79"/>
    </row>
    <row r="294" spans="2:43" hidden="1">
      <c r="B294" s="105"/>
      <c r="C294" s="79"/>
      <c r="D294" s="79"/>
      <c r="E294" s="79"/>
      <c r="F294" s="79"/>
      <c r="G294" s="79"/>
      <c r="H294" s="79"/>
    </row>
    <row r="295" spans="2:43" hidden="1">
      <c r="B295" s="105"/>
      <c r="C295" s="79"/>
      <c r="D295" s="79"/>
      <c r="E295" s="79"/>
      <c r="F295" s="79"/>
      <c r="G295" s="79"/>
      <c r="H295" s="79"/>
    </row>
    <row r="296" spans="2:43" hidden="1">
      <c r="B296" s="105"/>
      <c r="C296" s="79"/>
      <c r="D296" s="79"/>
      <c r="E296" s="79"/>
      <c r="F296" s="79"/>
      <c r="G296" s="79"/>
      <c r="H296" s="79"/>
    </row>
    <row r="297" spans="2:43" hidden="1">
      <c r="B297" s="105"/>
      <c r="C297" s="79"/>
      <c r="D297" s="79"/>
      <c r="E297" s="79"/>
      <c r="F297" s="79"/>
      <c r="G297" s="79"/>
      <c r="H297" s="79"/>
    </row>
    <row r="298" spans="2:43" hidden="1">
      <c r="B298" s="105"/>
      <c r="C298" s="79"/>
      <c r="D298" s="79"/>
      <c r="E298" s="79"/>
      <c r="F298" s="79"/>
      <c r="G298" s="79"/>
      <c r="H298" s="79"/>
    </row>
    <row r="299" spans="2:43" hidden="1">
      <c r="B299" s="105"/>
      <c r="C299" s="79"/>
      <c r="D299" s="79"/>
      <c r="E299" s="79"/>
      <c r="F299" s="79"/>
      <c r="G299" s="79"/>
      <c r="H299" s="79"/>
    </row>
    <row r="300" spans="2:43">
      <c r="B300" s="106" t="s">
        <v>222</v>
      </c>
      <c r="C300" s="79"/>
      <c r="D300" s="79"/>
      <c r="E300" s="79"/>
      <c r="F300" s="79"/>
      <c r="G300" s="79"/>
      <c r="AK300" s="5"/>
      <c r="AL300" s="5"/>
      <c r="AM300" s="5"/>
      <c r="AN300" s="5"/>
      <c r="AO300" s="5"/>
      <c r="AP300" s="5"/>
      <c r="AQ300" s="5"/>
    </row>
    <row r="301" spans="2:43">
      <c r="B301" s="109" t="s">
        <v>75</v>
      </c>
      <c r="C301" s="77">
        <f>SUM(C280:C300)</f>
        <v>0</v>
      </c>
      <c r="D301" s="77">
        <f>SUM(D280:D300)</f>
        <v>0</v>
      </c>
      <c r="E301" s="77">
        <f>SUM(E280:E300)</f>
        <v>0</v>
      </c>
      <c r="F301" s="77">
        <f>SUM(F280:F300)</f>
        <v>0</v>
      </c>
      <c r="G301" s="77">
        <f>SUM(G280:G300)</f>
        <v>0</v>
      </c>
      <c r="H301" s="75"/>
    </row>
    <row r="302" spans="2:43">
      <c r="B302" s="59"/>
      <c r="C302" s="74"/>
      <c r="D302" s="74"/>
      <c r="E302" s="74"/>
      <c r="F302" s="74"/>
      <c r="G302" s="74"/>
    </row>
    <row r="303" spans="2:43">
      <c r="B303" s="108" t="s">
        <v>223</v>
      </c>
      <c r="C303" s="76"/>
      <c r="D303" s="76"/>
      <c r="E303" s="76"/>
      <c r="F303" s="76"/>
      <c r="G303" s="76"/>
    </row>
    <row r="304" spans="2:43">
      <c r="B304" s="102" t="s">
        <v>1</v>
      </c>
      <c r="C304" s="64" t="str">
        <f>C6</f>
        <v>FY22</v>
      </c>
      <c r="D304" s="64" t="str">
        <f>D6</f>
        <v>FY23</v>
      </c>
      <c r="E304" s="64" t="str">
        <f>E6</f>
        <v>FY24</v>
      </c>
      <c r="F304" s="64" t="str">
        <f>F6</f>
        <v>FY25</v>
      </c>
      <c r="G304" s="64" t="str">
        <f>G6</f>
        <v>FY26</v>
      </c>
    </row>
    <row r="305" spans="2:8">
      <c r="B305" s="4" t="s">
        <v>53</v>
      </c>
      <c r="C305" s="65"/>
      <c r="D305" s="65"/>
      <c r="E305" s="65"/>
      <c r="F305" s="65"/>
      <c r="G305" s="65"/>
    </row>
    <row r="306" spans="2:8" hidden="1">
      <c r="B306" s="4"/>
      <c r="C306" s="65"/>
      <c r="D306" s="65"/>
      <c r="E306" s="65"/>
      <c r="F306" s="65"/>
      <c r="G306" s="65"/>
    </row>
    <row r="307" spans="2:8" hidden="1">
      <c r="B307" s="4"/>
      <c r="C307" s="65"/>
      <c r="D307" s="65"/>
      <c r="E307" s="65"/>
      <c r="F307" s="65"/>
      <c r="G307" s="65"/>
    </row>
    <row r="308" spans="2:8" hidden="1">
      <c r="B308" s="4"/>
      <c r="C308" s="65"/>
      <c r="D308" s="65"/>
      <c r="E308" s="65"/>
      <c r="F308" s="65"/>
      <c r="G308" s="65"/>
    </row>
    <row r="309" spans="2:8">
      <c r="B309" s="4" t="s">
        <v>224</v>
      </c>
      <c r="C309" s="84"/>
      <c r="D309" s="84"/>
      <c r="E309" s="84"/>
      <c r="F309" s="84"/>
      <c r="G309" s="84"/>
    </row>
    <row r="310" spans="2:8">
      <c r="B310" s="109" t="s">
        <v>75</v>
      </c>
      <c r="C310" s="77">
        <f>SUM(C305:C309)</f>
        <v>0</v>
      </c>
      <c r="D310" s="77">
        <f>SUM(D305:D309)</f>
        <v>0</v>
      </c>
      <c r="E310" s="77">
        <f>SUM(E305:E309)</f>
        <v>0</v>
      </c>
      <c r="F310" s="77">
        <f>SUM(F305:F309)</f>
        <v>0</v>
      </c>
      <c r="G310" s="77">
        <f>SUM(G305:G309)</f>
        <v>0</v>
      </c>
    </row>
    <row r="311" spans="2:8">
      <c r="B311" s="59"/>
      <c r="C311" s="74"/>
      <c r="D311" s="74"/>
      <c r="E311" s="74"/>
      <c r="F311" s="74"/>
      <c r="G311" s="74"/>
    </row>
    <row r="312" spans="2:8">
      <c r="B312" s="108" t="s">
        <v>54</v>
      </c>
      <c r="C312" s="76"/>
      <c r="D312" s="76"/>
      <c r="E312" s="76"/>
      <c r="F312" s="76"/>
      <c r="G312" s="76"/>
    </row>
    <row r="313" spans="2:8">
      <c r="B313" s="102" t="s">
        <v>1</v>
      </c>
      <c r="C313" s="64" t="str">
        <f>C6</f>
        <v>FY22</v>
      </c>
      <c r="D313" s="64" t="str">
        <f>D6</f>
        <v>FY23</v>
      </c>
      <c r="E313" s="64" t="str">
        <f>E6</f>
        <v>FY24</v>
      </c>
      <c r="F313" s="64" t="str">
        <f>F6</f>
        <v>FY25</v>
      </c>
      <c r="G313" s="64" t="str">
        <f>G6</f>
        <v>FY26</v>
      </c>
    </row>
    <row r="314" spans="2:8">
      <c r="B314" s="119" t="s">
        <v>225</v>
      </c>
      <c r="C314" s="84"/>
      <c r="D314" s="84"/>
      <c r="E314" s="84"/>
      <c r="F314" s="84"/>
      <c r="G314" s="84"/>
    </row>
    <row r="315" spans="2:8">
      <c r="B315" s="118" t="s">
        <v>226</v>
      </c>
      <c r="C315" s="84"/>
      <c r="D315" s="84"/>
      <c r="E315" s="84"/>
      <c r="F315" s="84"/>
      <c r="G315" s="84"/>
    </row>
    <row r="316" spans="2:8">
      <c r="B316" s="118" t="s">
        <v>227</v>
      </c>
      <c r="C316" s="84"/>
      <c r="D316" s="84"/>
      <c r="E316" s="84"/>
      <c r="F316" s="84"/>
      <c r="G316" s="84"/>
      <c r="H316" s="65"/>
    </row>
    <row r="317" spans="2:8" hidden="1">
      <c r="B317" s="118"/>
      <c r="C317" s="84"/>
      <c r="D317" s="84"/>
      <c r="E317" s="84"/>
      <c r="F317" s="84"/>
      <c r="G317" s="84"/>
    </row>
    <row r="318" spans="2:8" hidden="1">
      <c r="B318" s="118"/>
      <c r="C318" s="84"/>
      <c r="D318" s="84"/>
      <c r="E318" s="84"/>
      <c r="F318" s="84"/>
      <c r="G318" s="84"/>
    </row>
    <row r="319" spans="2:8" hidden="1">
      <c r="B319" s="118"/>
      <c r="C319" s="84"/>
      <c r="D319" s="84"/>
      <c r="E319" s="84"/>
      <c r="F319" s="84"/>
      <c r="G319" s="84"/>
    </row>
    <row r="320" spans="2:8" hidden="1">
      <c r="B320" s="118"/>
      <c r="C320" s="84"/>
      <c r="D320" s="84"/>
      <c r="E320" s="84"/>
      <c r="F320" s="84"/>
      <c r="G320" s="84"/>
    </row>
    <row r="321" spans="2:8" hidden="1">
      <c r="B321" s="118"/>
      <c r="C321" s="84"/>
      <c r="D321" s="84"/>
      <c r="E321" s="84"/>
      <c r="F321" s="84"/>
      <c r="G321" s="84"/>
    </row>
    <row r="322" spans="2:8" hidden="1">
      <c r="B322" s="118"/>
      <c r="C322" s="84"/>
      <c r="D322" s="84"/>
      <c r="E322" s="84"/>
      <c r="F322" s="84"/>
      <c r="G322" s="84"/>
    </row>
    <row r="323" spans="2:8" hidden="1">
      <c r="B323" s="118"/>
      <c r="C323" s="84"/>
      <c r="D323" s="84"/>
      <c r="E323" s="84"/>
      <c r="F323" s="84"/>
      <c r="G323" s="84"/>
    </row>
    <row r="324" spans="2:8" hidden="1">
      <c r="B324" s="118"/>
      <c r="C324" s="84"/>
      <c r="D324" s="84"/>
      <c r="E324" s="84"/>
      <c r="F324" s="84"/>
      <c r="G324" s="84"/>
    </row>
    <row r="325" spans="2:8">
      <c r="B325" s="60" t="s">
        <v>228</v>
      </c>
      <c r="C325" s="84"/>
      <c r="D325" s="84"/>
      <c r="E325" s="84"/>
      <c r="F325" s="84"/>
      <c r="G325" s="84"/>
      <c r="H325" s="62"/>
    </row>
    <row r="326" spans="2:8">
      <c r="B326" s="109" t="s">
        <v>75</v>
      </c>
      <c r="C326" s="77">
        <f>SUM(C315:C325)</f>
        <v>0</v>
      </c>
      <c r="D326" s="77">
        <f>SUM(D315:D325)</f>
        <v>0</v>
      </c>
      <c r="E326" s="77">
        <f>SUM(E315:E325)</f>
        <v>0</v>
      </c>
      <c r="F326" s="77">
        <f>SUM(F315:F325)</f>
        <v>0</v>
      </c>
      <c r="G326" s="77">
        <f>SUM(G315:G325)</f>
        <v>0</v>
      </c>
      <c r="H326" s="78"/>
    </row>
    <row r="327" spans="2:8">
      <c r="B327" s="59"/>
      <c r="C327" s="75"/>
      <c r="D327" s="75"/>
      <c r="E327" s="75"/>
      <c r="F327" s="75"/>
      <c r="G327" s="75"/>
      <c r="H327" s="78"/>
    </row>
    <row r="328" spans="2:8">
      <c r="B328" s="108" t="s">
        <v>57</v>
      </c>
      <c r="C328" s="76"/>
      <c r="D328" s="76"/>
      <c r="E328" s="76"/>
      <c r="F328" s="76"/>
      <c r="G328" s="76"/>
      <c r="H328" s="78"/>
    </row>
    <row r="329" spans="2:8">
      <c r="B329" s="102" t="s">
        <v>1</v>
      </c>
      <c r="C329" s="64" t="str">
        <f>C6</f>
        <v>FY22</v>
      </c>
      <c r="D329" s="64" t="str">
        <f>D6</f>
        <v>FY23</v>
      </c>
      <c r="E329" s="64" t="str">
        <f>E6</f>
        <v>FY24</v>
      </c>
      <c r="F329" s="64" t="str">
        <f>F6</f>
        <v>FY25</v>
      </c>
      <c r="G329" s="64" t="str">
        <f>G6</f>
        <v>FY26</v>
      </c>
      <c r="H329" s="78"/>
    </row>
    <row r="330" spans="2:8">
      <c r="B330" s="119" t="s">
        <v>229</v>
      </c>
      <c r="C330" s="84"/>
      <c r="D330" s="84"/>
      <c r="E330" s="84"/>
      <c r="F330" s="84"/>
      <c r="G330" s="84"/>
      <c r="H330" s="78"/>
    </row>
    <row r="331" spans="2:8">
      <c r="B331" s="147" t="s">
        <v>230</v>
      </c>
      <c r="C331" s="84"/>
      <c r="D331" s="84"/>
      <c r="E331" s="84"/>
      <c r="F331" s="84"/>
      <c r="G331" s="84"/>
      <c r="H331" s="78"/>
    </row>
    <row r="332" spans="2:8">
      <c r="B332" s="147" t="s">
        <v>231</v>
      </c>
      <c r="C332" s="84"/>
      <c r="D332" s="84"/>
      <c r="E332" s="84"/>
      <c r="F332" s="84"/>
      <c r="G332" s="84"/>
      <c r="H332" s="78"/>
    </row>
    <row r="333" spans="2:8" hidden="1">
      <c r="B333" s="119"/>
      <c r="C333" s="84"/>
      <c r="D333" s="84"/>
      <c r="E333" s="84"/>
      <c r="F333" s="84"/>
      <c r="G333" s="84"/>
      <c r="H333" s="78"/>
    </row>
    <row r="334" spans="2:8" hidden="1">
      <c r="B334" s="119"/>
      <c r="C334" s="84"/>
      <c r="D334" s="84"/>
      <c r="E334" s="84"/>
      <c r="F334" s="84"/>
      <c r="G334" s="84"/>
      <c r="H334" s="78"/>
    </row>
    <row r="335" spans="2:8" hidden="1">
      <c r="B335" s="119"/>
      <c r="C335" s="84"/>
      <c r="D335" s="84"/>
      <c r="E335" s="84"/>
      <c r="F335" s="84"/>
      <c r="G335" s="84"/>
      <c r="H335" s="78"/>
    </row>
    <row r="336" spans="2:8" hidden="1">
      <c r="B336" s="119"/>
      <c r="C336" s="84"/>
      <c r="D336" s="84"/>
      <c r="E336" s="84"/>
      <c r="F336" s="84"/>
      <c r="G336" s="84"/>
      <c r="H336" s="78"/>
    </row>
    <row r="337" spans="1:18">
      <c r="B337" s="60" t="s">
        <v>174</v>
      </c>
      <c r="C337" s="84"/>
      <c r="D337" s="84"/>
      <c r="E337" s="84"/>
      <c r="F337" s="84"/>
      <c r="G337" s="84"/>
      <c r="H337" s="78"/>
    </row>
    <row r="338" spans="1:18">
      <c r="B338" s="109" t="s">
        <v>75</v>
      </c>
      <c r="C338" s="77">
        <f>SUM(C330:C337)</f>
        <v>0</v>
      </c>
      <c r="D338" s="77">
        <f>SUM(D330:D337)</f>
        <v>0</v>
      </c>
      <c r="E338" s="77">
        <f>SUM(E330:E337)</f>
        <v>0</v>
      </c>
      <c r="F338" s="77">
        <f>SUM(F330:F337)</f>
        <v>0</v>
      </c>
      <c r="G338" s="77">
        <f>SUM(G330:G337)</f>
        <v>0</v>
      </c>
      <c r="H338" s="78"/>
    </row>
    <row r="339" spans="1:18">
      <c r="B339" s="59"/>
      <c r="C339" s="75"/>
      <c r="D339" s="75"/>
      <c r="E339" s="75"/>
      <c r="F339" s="75"/>
      <c r="G339" s="75"/>
      <c r="H339" s="78"/>
    </row>
    <row r="340" spans="1:18">
      <c r="B340" s="108" t="s">
        <v>51</v>
      </c>
      <c r="C340" s="76"/>
      <c r="D340" s="76"/>
      <c r="E340" s="76"/>
      <c r="F340" s="76"/>
      <c r="G340" s="76"/>
      <c r="H340" s="78"/>
      <c r="I340" s="227" t="s">
        <v>34</v>
      </c>
      <c r="J340" s="228"/>
      <c r="K340" s="228"/>
      <c r="L340" s="228"/>
      <c r="M340" s="228"/>
      <c r="O340" s="227" t="s">
        <v>232</v>
      </c>
      <c r="P340" s="228"/>
      <c r="Q340" s="228"/>
      <c r="R340" s="228"/>
    </row>
    <row r="341" spans="1:18">
      <c r="B341" s="102" t="s">
        <v>1</v>
      </c>
      <c r="C341" s="64" t="str">
        <f>C6</f>
        <v>FY22</v>
      </c>
      <c r="D341" s="64" t="str">
        <f>D6</f>
        <v>FY23</v>
      </c>
      <c r="E341" s="64" t="str">
        <f>E6</f>
        <v>FY24</v>
      </c>
      <c r="F341" s="64" t="str">
        <f>F6</f>
        <v>FY25</v>
      </c>
      <c r="G341" s="64" t="str">
        <f>G6</f>
        <v>FY26</v>
      </c>
      <c r="H341" s="78"/>
      <c r="I341" s="229" t="str">
        <f>C6</f>
        <v>FY22</v>
      </c>
      <c r="J341" s="229" t="str">
        <f>D6</f>
        <v>FY23</v>
      </c>
      <c r="K341" s="229" t="str">
        <f>E6</f>
        <v>FY24</v>
      </c>
      <c r="L341" s="229" t="str">
        <f>F6</f>
        <v>FY25</v>
      </c>
      <c r="M341" s="229" t="str">
        <f>G6</f>
        <v>FY26</v>
      </c>
      <c r="O341" s="229" t="str">
        <f>D6</f>
        <v>FY23</v>
      </c>
      <c r="P341" s="229" t="str">
        <f>E6</f>
        <v>FY24</v>
      </c>
      <c r="Q341" s="229" t="str">
        <f>F6</f>
        <v>FY25</v>
      </c>
      <c r="R341" s="229" t="str">
        <f>G6</f>
        <v>FY26</v>
      </c>
    </row>
    <row r="342" spans="1:18" s="216" customFormat="1">
      <c r="A342" s="217"/>
      <c r="B342" s="218" t="s">
        <v>48</v>
      </c>
      <c r="C342" s="219">
        <f>SUM(C343:C391)</f>
        <v>0</v>
      </c>
      <c r="D342" s="219">
        <f>SUM(D343:D391)</f>
        <v>0</v>
      </c>
      <c r="E342" s="219">
        <f>SUM(E343:E391)</f>
        <v>0</v>
      </c>
      <c r="F342" s="219">
        <f>SUM(F343:F391)</f>
        <v>0</v>
      </c>
      <c r="G342" s="219">
        <f>SUM(G343:G391)</f>
        <v>0</v>
      </c>
      <c r="H342" s="220"/>
      <c r="I342" s="230">
        <f t="shared" ref="I342:I373" si="0">IFERROR(C342/C$250,0)</f>
        <v>0</v>
      </c>
      <c r="J342" s="230">
        <f t="shared" ref="J342:J373" si="1">IFERROR(D342/D$250,0)</f>
        <v>0</v>
      </c>
      <c r="K342" s="230">
        <f t="shared" ref="K342:K373" si="2">IFERROR(E342/E$250,0)</f>
        <v>0</v>
      </c>
      <c r="L342" s="230">
        <f t="shared" ref="L342:L373" si="3">IFERROR(F342/F$250,0)</f>
        <v>0</v>
      </c>
      <c r="M342" s="230">
        <f t="shared" ref="M342:M373" si="4">IFERROR(G342/G$250,0)</f>
        <v>0</v>
      </c>
      <c r="N342" s="230"/>
      <c r="O342" s="230">
        <f t="shared" ref="O342:O373" si="5">IFERROR(D342/C342-1,0)</f>
        <v>0</v>
      </c>
      <c r="P342" s="230">
        <f t="shared" ref="P342:P373" si="6">IFERROR(E342/D342-1,0)</f>
        <v>0</v>
      </c>
      <c r="Q342" s="230">
        <f t="shared" ref="Q342:Q373" si="7">IFERROR(F342/E342-1,0)</f>
        <v>0</v>
      </c>
      <c r="R342" s="230">
        <f t="shared" ref="R342:R373" si="8">IFERROR(G342/F342-1,0)</f>
        <v>0</v>
      </c>
    </row>
    <row r="343" spans="1:18">
      <c r="B343" s="118" t="s">
        <v>233</v>
      </c>
      <c r="C343" s="78"/>
      <c r="D343" s="78"/>
      <c r="E343" s="78"/>
      <c r="F343" s="78"/>
      <c r="G343" s="78"/>
      <c r="H343" s="62"/>
      <c r="I343" s="225">
        <f t="shared" si="0"/>
        <v>0</v>
      </c>
      <c r="J343" s="225">
        <f t="shared" si="1"/>
        <v>0</v>
      </c>
      <c r="K343" s="225">
        <f t="shared" si="2"/>
        <v>0</v>
      </c>
      <c r="L343" s="225">
        <f t="shared" si="3"/>
        <v>0</v>
      </c>
      <c r="M343" s="225">
        <f t="shared" si="4"/>
        <v>0</v>
      </c>
      <c r="O343" s="225">
        <f t="shared" si="5"/>
        <v>0</v>
      </c>
      <c r="P343" s="225">
        <f t="shared" si="6"/>
        <v>0</v>
      </c>
      <c r="Q343" s="225">
        <f t="shared" si="7"/>
        <v>0</v>
      </c>
      <c r="R343" s="225">
        <f t="shared" si="8"/>
        <v>0</v>
      </c>
    </row>
    <row r="344" spans="1:18">
      <c r="B344" s="215" t="s">
        <v>234</v>
      </c>
      <c r="C344" s="78"/>
      <c r="D344" s="78"/>
      <c r="E344" s="78"/>
      <c r="F344" s="78"/>
      <c r="G344" s="78"/>
      <c r="H344" s="62"/>
      <c r="I344" s="225">
        <f t="shared" si="0"/>
        <v>0</v>
      </c>
      <c r="J344" s="225">
        <f t="shared" si="1"/>
        <v>0</v>
      </c>
      <c r="K344" s="225">
        <f t="shared" si="2"/>
        <v>0</v>
      </c>
      <c r="L344" s="225">
        <f t="shared" si="3"/>
        <v>0</v>
      </c>
      <c r="M344" s="225">
        <f t="shared" si="4"/>
        <v>0</v>
      </c>
      <c r="O344" s="225">
        <f t="shared" si="5"/>
        <v>0</v>
      </c>
      <c r="P344" s="225">
        <f t="shared" si="6"/>
        <v>0</v>
      </c>
      <c r="Q344" s="225">
        <f t="shared" si="7"/>
        <v>0</v>
      </c>
      <c r="R344" s="225">
        <f t="shared" si="8"/>
        <v>0</v>
      </c>
    </row>
    <row r="345" spans="1:18">
      <c r="B345" s="215" t="s">
        <v>235</v>
      </c>
      <c r="C345" s="78"/>
      <c r="D345" s="78"/>
      <c r="E345" s="78"/>
      <c r="F345" s="78"/>
      <c r="G345" s="78"/>
      <c r="H345" s="62"/>
      <c r="I345" s="225">
        <f t="shared" si="0"/>
        <v>0</v>
      </c>
      <c r="J345" s="225">
        <f t="shared" si="1"/>
        <v>0</v>
      </c>
      <c r="K345" s="225">
        <f t="shared" si="2"/>
        <v>0</v>
      </c>
      <c r="L345" s="225">
        <f t="shared" si="3"/>
        <v>0</v>
      </c>
      <c r="M345" s="225">
        <f t="shared" si="4"/>
        <v>0</v>
      </c>
      <c r="O345" s="225">
        <f t="shared" si="5"/>
        <v>0</v>
      </c>
      <c r="P345" s="225">
        <f t="shared" si="6"/>
        <v>0</v>
      </c>
      <c r="Q345" s="225">
        <f t="shared" si="7"/>
        <v>0</v>
      </c>
      <c r="R345" s="225">
        <f t="shared" si="8"/>
        <v>0</v>
      </c>
    </row>
    <row r="346" spans="1:18">
      <c r="B346" s="215" t="s">
        <v>236</v>
      </c>
      <c r="C346" s="78"/>
      <c r="D346" s="78"/>
      <c r="E346" s="78"/>
      <c r="F346" s="78"/>
      <c r="G346" s="78"/>
      <c r="H346" s="62"/>
      <c r="I346" s="225">
        <f t="shared" si="0"/>
        <v>0</v>
      </c>
      <c r="J346" s="225">
        <f t="shared" si="1"/>
        <v>0</v>
      </c>
      <c r="K346" s="225">
        <f t="shared" si="2"/>
        <v>0</v>
      </c>
      <c r="L346" s="225">
        <f t="shared" si="3"/>
        <v>0</v>
      </c>
      <c r="M346" s="225">
        <f t="shared" si="4"/>
        <v>0</v>
      </c>
      <c r="O346" s="225">
        <f t="shared" si="5"/>
        <v>0</v>
      </c>
      <c r="P346" s="225">
        <f t="shared" si="6"/>
        <v>0</v>
      </c>
      <c r="Q346" s="225">
        <f t="shared" si="7"/>
        <v>0</v>
      </c>
      <c r="R346" s="225">
        <f t="shared" si="8"/>
        <v>0</v>
      </c>
    </row>
    <row r="347" spans="1:18">
      <c r="B347" s="215" t="s">
        <v>237</v>
      </c>
      <c r="C347" s="78"/>
      <c r="D347" s="78"/>
      <c r="E347" s="78"/>
      <c r="F347" s="78"/>
      <c r="G347" s="78"/>
      <c r="H347" s="62"/>
      <c r="I347" s="225">
        <f t="shared" si="0"/>
        <v>0</v>
      </c>
      <c r="J347" s="225">
        <f t="shared" si="1"/>
        <v>0</v>
      </c>
      <c r="K347" s="225">
        <f t="shared" si="2"/>
        <v>0</v>
      </c>
      <c r="L347" s="225">
        <f t="shared" si="3"/>
        <v>0</v>
      </c>
      <c r="M347" s="225">
        <f t="shared" si="4"/>
        <v>0</v>
      </c>
      <c r="O347" s="225">
        <f t="shared" si="5"/>
        <v>0</v>
      </c>
      <c r="P347" s="225">
        <f t="shared" si="6"/>
        <v>0</v>
      </c>
      <c r="Q347" s="225">
        <f t="shared" si="7"/>
        <v>0</v>
      </c>
      <c r="R347" s="225">
        <f t="shared" si="8"/>
        <v>0</v>
      </c>
    </row>
    <row r="348" spans="1:18">
      <c r="B348" s="215" t="s">
        <v>238</v>
      </c>
      <c r="C348" s="78"/>
      <c r="D348" s="78"/>
      <c r="E348" s="78"/>
      <c r="F348" s="78"/>
      <c r="G348" s="78"/>
      <c r="H348" s="62"/>
      <c r="I348" s="225">
        <f t="shared" si="0"/>
        <v>0</v>
      </c>
      <c r="J348" s="225">
        <f t="shared" si="1"/>
        <v>0</v>
      </c>
      <c r="K348" s="225">
        <f t="shared" si="2"/>
        <v>0</v>
      </c>
      <c r="L348" s="225">
        <f t="shared" si="3"/>
        <v>0</v>
      </c>
      <c r="M348" s="225">
        <f t="shared" si="4"/>
        <v>0</v>
      </c>
      <c r="O348" s="225">
        <f t="shared" si="5"/>
        <v>0</v>
      </c>
      <c r="P348" s="225">
        <f t="shared" si="6"/>
        <v>0</v>
      </c>
      <c r="Q348" s="225">
        <f t="shared" si="7"/>
        <v>0</v>
      </c>
      <c r="R348" s="225">
        <f t="shared" si="8"/>
        <v>0</v>
      </c>
    </row>
    <row r="349" spans="1:18">
      <c r="B349" s="215" t="s">
        <v>239</v>
      </c>
      <c r="C349" s="78"/>
      <c r="D349" s="78"/>
      <c r="E349" s="78"/>
      <c r="F349" s="78"/>
      <c r="G349" s="78"/>
      <c r="H349" s="62"/>
      <c r="I349" s="225">
        <f t="shared" si="0"/>
        <v>0</v>
      </c>
      <c r="J349" s="225">
        <f t="shared" si="1"/>
        <v>0</v>
      </c>
      <c r="K349" s="225">
        <f t="shared" si="2"/>
        <v>0</v>
      </c>
      <c r="L349" s="225">
        <f t="shared" si="3"/>
        <v>0</v>
      </c>
      <c r="M349" s="225">
        <f t="shared" si="4"/>
        <v>0</v>
      </c>
      <c r="O349" s="225">
        <f t="shared" si="5"/>
        <v>0</v>
      </c>
      <c r="P349" s="225">
        <f t="shared" si="6"/>
        <v>0</v>
      </c>
      <c r="Q349" s="225">
        <f t="shared" si="7"/>
        <v>0</v>
      </c>
      <c r="R349" s="225">
        <f t="shared" si="8"/>
        <v>0</v>
      </c>
    </row>
    <row r="350" spans="1:18">
      <c r="B350" s="118" t="s">
        <v>240</v>
      </c>
      <c r="C350" s="78"/>
      <c r="D350" s="78"/>
      <c r="E350" s="78"/>
      <c r="F350" s="78"/>
      <c r="G350" s="78"/>
      <c r="H350" s="78"/>
      <c r="I350" s="225">
        <f t="shared" si="0"/>
        <v>0</v>
      </c>
      <c r="J350" s="225">
        <f t="shared" si="1"/>
        <v>0</v>
      </c>
      <c r="K350" s="225">
        <f t="shared" si="2"/>
        <v>0</v>
      </c>
      <c r="L350" s="225">
        <f t="shared" si="3"/>
        <v>0</v>
      </c>
      <c r="M350" s="225">
        <f t="shared" si="4"/>
        <v>0</v>
      </c>
      <c r="O350" s="225">
        <f t="shared" si="5"/>
        <v>0</v>
      </c>
      <c r="P350" s="225">
        <f t="shared" si="6"/>
        <v>0</v>
      </c>
      <c r="Q350" s="225">
        <f t="shared" si="7"/>
        <v>0</v>
      </c>
      <c r="R350" s="225">
        <f t="shared" si="8"/>
        <v>0</v>
      </c>
    </row>
    <row r="351" spans="1:18">
      <c r="B351" s="118" t="s">
        <v>241</v>
      </c>
      <c r="C351" s="78"/>
      <c r="D351" s="78"/>
      <c r="E351" s="78"/>
      <c r="F351" s="78"/>
      <c r="G351" s="78"/>
      <c r="H351" s="62"/>
      <c r="I351" s="225">
        <f t="shared" si="0"/>
        <v>0</v>
      </c>
      <c r="J351" s="225">
        <f t="shared" si="1"/>
        <v>0</v>
      </c>
      <c r="K351" s="225">
        <f t="shared" si="2"/>
        <v>0</v>
      </c>
      <c r="L351" s="225">
        <f t="shared" si="3"/>
        <v>0</v>
      </c>
      <c r="M351" s="225">
        <f t="shared" si="4"/>
        <v>0</v>
      </c>
      <c r="O351" s="225">
        <f t="shared" si="5"/>
        <v>0</v>
      </c>
      <c r="P351" s="225">
        <f t="shared" si="6"/>
        <v>0</v>
      </c>
      <c r="Q351" s="225">
        <f t="shared" si="7"/>
        <v>0</v>
      </c>
      <c r="R351" s="225">
        <f t="shared" si="8"/>
        <v>0</v>
      </c>
    </row>
    <row r="352" spans="1:18">
      <c r="B352" s="118" t="s">
        <v>242</v>
      </c>
      <c r="C352" s="78"/>
      <c r="D352" s="78"/>
      <c r="E352" s="78"/>
      <c r="F352" s="78"/>
      <c r="G352" s="78"/>
      <c r="H352" s="62"/>
      <c r="I352" s="225">
        <f t="shared" si="0"/>
        <v>0</v>
      </c>
      <c r="J352" s="225">
        <f t="shared" si="1"/>
        <v>0</v>
      </c>
      <c r="K352" s="225">
        <f t="shared" si="2"/>
        <v>0</v>
      </c>
      <c r="L352" s="225">
        <f t="shared" si="3"/>
        <v>0</v>
      </c>
      <c r="M352" s="225">
        <f t="shared" si="4"/>
        <v>0</v>
      </c>
      <c r="O352" s="225">
        <f t="shared" si="5"/>
        <v>0</v>
      </c>
      <c r="P352" s="225">
        <f t="shared" si="6"/>
        <v>0</v>
      </c>
      <c r="Q352" s="225">
        <f t="shared" si="7"/>
        <v>0</v>
      </c>
      <c r="R352" s="225">
        <f t="shared" si="8"/>
        <v>0</v>
      </c>
    </row>
    <row r="353" spans="2:18">
      <c r="B353" s="118" t="s">
        <v>243</v>
      </c>
      <c r="C353" s="78"/>
      <c r="D353" s="78"/>
      <c r="E353" s="78"/>
      <c r="F353" s="78"/>
      <c r="G353" s="78"/>
      <c r="H353" s="62"/>
      <c r="I353" s="225">
        <f t="shared" si="0"/>
        <v>0</v>
      </c>
      <c r="J353" s="225">
        <f t="shared" si="1"/>
        <v>0</v>
      </c>
      <c r="K353" s="225">
        <f t="shared" si="2"/>
        <v>0</v>
      </c>
      <c r="L353" s="225">
        <f t="shared" si="3"/>
        <v>0</v>
      </c>
      <c r="M353" s="225">
        <f t="shared" si="4"/>
        <v>0</v>
      </c>
      <c r="O353" s="225">
        <f t="shared" si="5"/>
        <v>0</v>
      </c>
      <c r="P353" s="225">
        <f t="shared" si="6"/>
        <v>0</v>
      </c>
      <c r="Q353" s="225">
        <f t="shared" si="7"/>
        <v>0</v>
      </c>
      <c r="R353" s="225">
        <f t="shared" si="8"/>
        <v>0</v>
      </c>
    </row>
    <row r="354" spans="2:18">
      <c r="B354" s="118" t="s">
        <v>244</v>
      </c>
      <c r="C354" s="78"/>
      <c r="D354" s="78"/>
      <c r="E354" s="78"/>
      <c r="F354" s="78"/>
      <c r="G354" s="78"/>
      <c r="H354" s="62"/>
      <c r="I354" s="225">
        <f t="shared" si="0"/>
        <v>0</v>
      </c>
      <c r="J354" s="225">
        <f t="shared" si="1"/>
        <v>0</v>
      </c>
      <c r="K354" s="225">
        <f t="shared" si="2"/>
        <v>0</v>
      </c>
      <c r="L354" s="225">
        <f t="shared" si="3"/>
        <v>0</v>
      </c>
      <c r="M354" s="225">
        <f t="shared" si="4"/>
        <v>0</v>
      </c>
      <c r="O354" s="225">
        <f t="shared" si="5"/>
        <v>0</v>
      </c>
      <c r="P354" s="225">
        <f t="shared" si="6"/>
        <v>0</v>
      </c>
      <c r="Q354" s="225">
        <f t="shared" si="7"/>
        <v>0</v>
      </c>
      <c r="R354" s="225">
        <f t="shared" si="8"/>
        <v>0</v>
      </c>
    </row>
    <row r="355" spans="2:18">
      <c r="B355" s="118" t="s">
        <v>245</v>
      </c>
      <c r="C355" s="78"/>
      <c r="D355" s="78"/>
      <c r="E355" s="78"/>
      <c r="F355" s="78"/>
      <c r="G355" s="78"/>
      <c r="H355" s="62"/>
      <c r="I355" s="225">
        <f t="shared" si="0"/>
        <v>0</v>
      </c>
      <c r="J355" s="225">
        <f t="shared" si="1"/>
        <v>0</v>
      </c>
      <c r="K355" s="225">
        <f t="shared" si="2"/>
        <v>0</v>
      </c>
      <c r="L355" s="225">
        <f t="shared" si="3"/>
        <v>0</v>
      </c>
      <c r="M355" s="225">
        <f t="shared" si="4"/>
        <v>0</v>
      </c>
      <c r="O355" s="225">
        <f t="shared" si="5"/>
        <v>0</v>
      </c>
      <c r="P355" s="225">
        <f t="shared" si="6"/>
        <v>0</v>
      </c>
      <c r="Q355" s="225">
        <f t="shared" si="7"/>
        <v>0</v>
      </c>
      <c r="R355" s="225">
        <f t="shared" si="8"/>
        <v>0</v>
      </c>
    </row>
    <row r="356" spans="2:18">
      <c r="B356" s="118" t="s">
        <v>246</v>
      </c>
      <c r="C356" s="78"/>
      <c r="D356" s="78"/>
      <c r="E356" s="78"/>
      <c r="F356" s="78"/>
      <c r="G356" s="78"/>
      <c r="H356" s="62"/>
      <c r="I356" s="225">
        <f t="shared" si="0"/>
        <v>0</v>
      </c>
      <c r="J356" s="225">
        <f t="shared" si="1"/>
        <v>0</v>
      </c>
      <c r="K356" s="225">
        <f t="shared" si="2"/>
        <v>0</v>
      </c>
      <c r="L356" s="225">
        <f t="shared" si="3"/>
        <v>0</v>
      </c>
      <c r="M356" s="225">
        <f t="shared" si="4"/>
        <v>0</v>
      </c>
      <c r="O356" s="225">
        <f t="shared" si="5"/>
        <v>0</v>
      </c>
      <c r="P356" s="225">
        <f t="shared" si="6"/>
        <v>0</v>
      </c>
      <c r="Q356" s="225">
        <f t="shared" si="7"/>
        <v>0</v>
      </c>
      <c r="R356" s="225">
        <f t="shared" si="8"/>
        <v>0</v>
      </c>
    </row>
    <row r="357" spans="2:18">
      <c r="B357" s="118" t="s">
        <v>247</v>
      </c>
      <c r="C357" s="78"/>
      <c r="D357" s="78"/>
      <c r="E357" s="78"/>
      <c r="F357" s="78"/>
      <c r="G357" s="78"/>
      <c r="H357" s="62"/>
      <c r="I357" s="225">
        <f t="shared" si="0"/>
        <v>0</v>
      </c>
      <c r="J357" s="225">
        <f t="shared" si="1"/>
        <v>0</v>
      </c>
      <c r="K357" s="225">
        <f t="shared" si="2"/>
        <v>0</v>
      </c>
      <c r="L357" s="225">
        <f t="shared" si="3"/>
        <v>0</v>
      </c>
      <c r="M357" s="225">
        <f t="shared" si="4"/>
        <v>0</v>
      </c>
      <c r="O357" s="225">
        <f t="shared" si="5"/>
        <v>0</v>
      </c>
      <c r="P357" s="225">
        <f t="shared" si="6"/>
        <v>0</v>
      </c>
      <c r="Q357" s="225">
        <f t="shared" si="7"/>
        <v>0</v>
      </c>
      <c r="R357" s="225">
        <f t="shared" si="8"/>
        <v>0</v>
      </c>
    </row>
    <row r="358" spans="2:18">
      <c r="B358" s="118" t="s">
        <v>248</v>
      </c>
      <c r="C358" s="78"/>
      <c r="D358" s="78"/>
      <c r="E358" s="78"/>
      <c r="F358" s="78"/>
      <c r="G358" s="78"/>
      <c r="H358" s="62"/>
      <c r="I358" s="225">
        <f t="shared" si="0"/>
        <v>0</v>
      </c>
      <c r="J358" s="225">
        <f t="shared" si="1"/>
        <v>0</v>
      </c>
      <c r="K358" s="225">
        <f t="shared" si="2"/>
        <v>0</v>
      </c>
      <c r="L358" s="225">
        <f t="shared" si="3"/>
        <v>0</v>
      </c>
      <c r="M358" s="225">
        <f t="shared" si="4"/>
        <v>0</v>
      </c>
      <c r="O358" s="225">
        <f t="shared" si="5"/>
        <v>0</v>
      </c>
      <c r="P358" s="225">
        <f t="shared" si="6"/>
        <v>0</v>
      </c>
      <c r="Q358" s="225">
        <f t="shared" si="7"/>
        <v>0</v>
      </c>
      <c r="R358" s="225">
        <f t="shared" si="8"/>
        <v>0</v>
      </c>
    </row>
    <row r="359" spans="2:18">
      <c r="B359" s="118" t="s">
        <v>249</v>
      </c>
      <c r="C359" s="78"/>
      <c r="D359" s="78"/>
      <c r="E359" s="78"/>
      <c r="F359" s="78"/>
      <c r="G359" s="78"/>
      <c r="H359" s="62"/>
      <c r="I359" s="225">
        <f t="shared" si="0"/>
        <v>0</v>
      </c>
      <c r="J359" s="225">
        <f t="shared" si="1"/>
        <v>0</v>
      </c>
      <c r="K359" s="225">
        <f t="shared" si="2"/>
        <v>0</v>
      </c>
      <c r="L359" s="225">
        <f t="shared" si="3"/>
        <v>0</v>
      </c>
      <c r="M359" s="225">
        <f t="shared" si="4"/>
        <v>0</v>
      </c>
      <c r="O359" s="225">
        <f t="shared" si="5"/>
        <v>0</v>
      </c>
      <c r="P359" s="225">
        <f t="shared" si="6"/>
        <v>0</v>
      </c>
      <c r="Q359" s="225">
        <f t="shared" si="7"/>
        <v>0</v>
      </c>
      <c r="R359" s="225">
        <f t="shared" si="8"/>
        <v>0</v>
      </c>
    </row>
    <row r="360" spans="2:18">
      <c r="B360" s="118" t="s">
        <v>250</v>
      </c>
      <c r="C360" s="78"/>
      <c r="D360" s="78"/>
      <c r="E360" s="78"/>
      <c r="F360" s="78"/>
      <c r="G360" s="78"/>
      <c r="H360" s="62"/>
      <c r="I360" s="225">
        <f t="shared" si="0"/>
        <v>0</v>
      </c>
      <c r="J360" s="225">
        <f t="shared" si="1"/>
        <v>0</v>
      </c>
      <c r="K360" s="225">
        <f t="shared" si="2"/>
        <v>0</v>
      </c>
      <c r="L360" s="225">
        <f t="shared" si="3"/>
        <v>0</v>
      </c>
      <c r="M360" s="225">
        <f t="shared" si="4"/>
        <v>0</v>
      </c>
      <c r="O360" s="225">
        <f t="shared" si="5"/>
        <v>0</v>
      </c>
      <c r="P360" s="225">
        <f t="shared" si="6"/>
        <v>0</v>
      </c>
      <c r="Q360" s="225">
        <f t="shared" si="7"/>
        <v>0</v>
      </c>
      <c r="R360" s="225">
        <f t="shared" si="8"/>
        <v>0</v>
      </c>
    </row>
    <row r="361" spans="2:18" hidden="1">
      <c r="B361" s="118"/>
      <c r="C361" s="78"/>
      <c r="D361" s="78"/>
      <c r="E361" s="78"/>
      <c r="F361" s="78"/>
      <c r="G361" s="78"/>
      <c r="H361" s="62"/>
      <c r="I361" s="225">
        <f t="shared" si="0"/>
        <v>0</v>
      </c>
      <c r="J361" s="225">
        <f t="shared" si="1"/>
        <v>0</v>
      </c>
      <c r="K361" s="225">
        <f t="shared" si="2"/>
        <v>0</v>
      </c>
      <c r="L361" s="225">
        <f t="shared" si="3"/>
        <v>0</v>
      </c>
      <c r="M361" s="225">
        <f t="shared" si="4"/>
        <v>0</v>
      </c>
      <c r="O361" s="225">
        <f t="shared" si="5"/>
        <v>0</v>
      </c>
      <c r="P361" s="225">
        <f t="shared" si="6"/>
        <v>0</v>
      </c>
      <c r="Q361" s="225">
        <f t="shared" si="7"/>
        <v>0</v>
      </c>
      <c r="R361" s="225">
        <f t="shared" si="8"/>
        <v>0</v>
      </c>
    </row>
    <row r="362" spans="2:18" hidden="1">
      <c r="B362" s="118"/>
      <c r="C362" s="78"/>
      <c r="D362" s="78"/>
      <c r="E362" s="78"/>
      <c r="F362" s="78"/>
      <c r="G362" s="78"/>
      <c r="H362" s="62"/>
      <c r="I362" s="225">
        <f t="shared" si="0"/>
        <v>0</v>
      </c>
      <c r="J362" s="225">
        <f t="shared" si="1"/>
        <v>0</v>
      </c>
      <c r="K362" s="225">
        <f t="shared" si="2"/>
        <v>0</v>
      </c>
      <c r="L362" s="225">
        <f t="shared" si="3"/>
        <v>0</v>
      </c>
      <c r="M362" s="225">
        <f t="shared" si="4"/>
        <v>0</v>
      </c>
      <c r="O362" s="225">
        <f t="shared" si="5"/>
        <v>0</v>
      </c>
      <c r="P362" s="225">
        <f t="shared" si="6"/>
        <v>0</v>
      </c>
      <c r="Q362" s="225">
        <f t="shared" si="7"/>
        <v>0</v>
      </c>
      <c r="R362" s="225">
        <f t="shared" si="8"/>
        <v>0</v>
      </c>
    </row>
    <row r="363" spans="2:18" hidden="1">
      <c r="B363" s="118"/>
      <c r="C363" s="78"/>
      <c r="D363" s="78"/>
      <c r="E363" s="78"/>
      <c r="F363" s="78"/>
      <c r="G363" s="78"/>
      <c r="H363" s="62"/>
      <c r="I363" s="225">
        <f t="shared" si="0"/>
        <v>0</v>
      </c>
      <c r="J363" s="225">
        <f t="shared" si="1"/>
        <v>0</v>
      </c>
      <c r="K363" s="225">
        <f t="shared" si="2"/>
        <v>0</v>
      </c>
      <c r="L363" s="225">
        <f t="shared" si="3"/>
        <v>0</v>
      </c>
      <c r="M363" s="225">
        <f t="shared" si="4"/>
        <v>0</v>
      </c>
      <c r="O363" s="225">
        <f t="shared" si="5"/>
        <v>0</v>
      </c>
      <c r="P363" s="225">
        <f t="shared" si="6"/>
        <v>0</v>
      </c>
      <c r="Q363" s="225">
        <f t="shared" si="7"/>
        <v>0</v>
      </c>
      <c r="R363" s="225">
        <f t="shared" si="8"/>
        <v>0</v>
      </c>
    </row>
    <row r="364" spans="2:18" hidden="1">
      <c r="B364" s="118"/>
      <c r="C364" s="78"/>
      <c r="D364" s="78"/>
      <c r="E364" s="78"/>
      <c r="F364" s="78"/>
      <c r="G364" s="78"/>
      <c r="H364" s="62"/>
      <c r="I364" s="225">
        <f t="shared" si="0"/>
        <v>0</v>
      </c>
      <c r="J364" s="225">
        <f t="shared" si="1"/>
        <v>0</v>
      </c>
      <c r="K364" s="225">
        <f t="shared" si="2"/>
        <v>0</v>
      </c>
      <c r="L364" s="225">
        <f t="shared" si="3"/>
        <v>0</v>
      </c>
      <c r="M364" s="225">
        <f t="shared" si="4"/>
        <v>0</v>
      </c>
      <c r="O364" s="225">
        <f t="shared" si="5"/>
        <v>0</v>
      </c>
      <c r="P364" s="225">
        <f t="shared" si="6"/>
        <v>0</v>
      </c>
      <c r="Q364" s="225">
        <f t="shared" si="7"/>
        <v>0</v>
      </c>
      <c r="R364" s="225">
        <f t="shared" si="8"/>
        <v>0</v>
      </c>
    </row>
    <row r="365" spans="2:18" hidden="1">
      <c r="B365" s="118"/>
      <c r="C365" s="78"/>
      <c r="D365" s="78"/>
      <c r="E365" s="78"/>
      <c r="F365" s="78"/>
      <c r="G365" s="78"/>
      <c r="H365" s="62"/>
      <c r="I365" s="225">
        <f t="shared" si="0"/>
        <v>0</v>
      </c>
      <c r="J365" s="225">
        <f t="shared" si="1"/>
        <v>0</v>
      </c>
      <c r="K365" s="225">
        <f t="shared" si="2"/>
        <v>0</v>
      </c>
      <c r="L365" s="225">
        <f t="shared" si="3"/>
        <v>0</v>
      </c>
      <c r="M365" s="225">
        <f t="shared" si="4"/>
        <v>0</v>
      </c>
      <c r="O365" s="225">
        <f t="shared" si="5"/>
        <v>0</v>
      </c>
      <c r="P365" s="225">
        <f t="shared" si="6"/>
        <v>0</v>
      </c>
      <c r="Q365" s="225">
        <f t="shared" si="7"/>
        <v>0</v>
      </c>
      <c r="R365" s="225">
        <f t="shared" si="8"/>
        <v>0</v>
      </c>
    </row>
    <row r="366" spans="2:18" hidden="1">
      <c r="B366" s="118"/>
      <c r="C366" s="78"/>
      <c r="D366" s="78"/>
      <c r="E366" s="78"/>
      <c r="F366" s="78"/>
      <c r="G366" s="78"/>
      <c r="H366" s="62"/>
      <c r="I366" s="225">
        <f t="shared" si="0"/>
        <v>0</v>
      </c>
      <c r="J366" s="225">
        <f t="shared" si="1"/>
        <v>0</v>
      </c>
      <c r="K366" s="225">
        <f t="shared" si="2"/>
        <v>0</v>
      </c>
      <c r="L366" s="225">
        <f t="shared" si="3"/>
        <v>0</v>
      </c>
      <c r="M366" s="225">
        <f t="shared" si="4"/>
        <v>0</v>
      </c>
      <c r="O366" s="225">
        <f t="shared" si="5"/>
        <v>0</v>
      </c>
      <c r="P366" s="225">
        <f t="shared" si="6"/>
        <v>0</v>
      </c>
      <c r="Q366" s="225">
        <f t="shared" si="7"/>
        <v>0</v>
      </c>
      <c r="R366" s="225">
        <f t="shared" si="8"/>
        <v>0</v>
      </c>
    </row>
    <row r="367" spans="2:18" hidden="1">
      <c r="B367" s="118"/>
      <c r="C367" s="78"/>
      <c r="D367" s="78"/>
      <c r="E367" s="78"/>
      <c r="F367" s="78"/>
      <c r="G367" s="78"/>
      <c r="H367" s="62"/>
      <c r="I367" s="225">
        <f t="shared" si="0"/>
        <v>0</v>
      </c>
      <c r="J367" s="225">
        <f t="shared" si="1"/>
        <v>0</v>
      </c>
      <c r="K367" s="225">
        <f t="shared" si="2"/>
        <v>0</v>
      </c>
      <c r="L367" s="225">
        <f t="shared" si="3"/>
        <v>0</v>
      </c>
      <c r="M367" s="225">
        <f t="shared" si="4"/>
        <v>0</v>
      </c>
      <c r="O367" s="225">
        <f t="shared" si="5"/>
        <v>0</v>
      </c>
      <c r="P367" s="225">
        <f t="shared" si="6"/>
        <v>0</v>
      </c>
      <c r="Q367" s="225">
        <f t="shared" si="7"/>
        <v>0</v>
      </c>
      <c r="R367" s="225">
        <f t="shared" si="8"/>
        <v>0</v>
      </c>
    </row>
    <row r="368" spans="2:18" hidden="1">
      <c r="B368" s="118"/>
      <c r="C368" s="78"/>
      <c r="D368" s="78"/>
      <c r="E368" s="78"/>
      <c r="F368" s="78"/>
      <c r="G368" s="78"/>
      <c r="H368" s="62"/>
      <c r="I368" s="225">
        <f t="shared" si="0"/>
        <v>0</v>
      </c>
      <c r="J368" s="225">
        <f t="shared" si="1"/>
        <v>0</v>
      </c>
      <c r="K368" s="225">
        <f t="shared" si="2"/>
        <v>0</v>
      </c>
      <c r="L368" s="225">
        <f t="shared" si="3"/>
        <v>0</v>
      </c>
      <c r="M368" s="225">
        <f t="shared" si="4"/>
        <v>0</v>
      </c>
      <c r="O368" s="225">
        <f t="shared" si="5"/>
        <v>0</v>
      </c>
      <c r="P368" s="225">
        <f t="shared" si="6"/>
        <v>0</v>
      </c>
      <c r="Q368" s="225">
        <f t="shared" si="7"/>
        <v>0</v>
      </c>
      <c r="R368" s="225">
        <f t="shared" si="8"/>
        <v>0</v>
      </c>
    </row>
    <row r="369" spans="2:18" hidden="1">
      <c r="B369" s="118"/>
      <c r="C369" s="78"/>
      <c r="D369" s="78"/>
      <c r="E369" s="78"/>
      <c r="F369" s="78"/>
      <c r="G369" s="78"/>
      <c r="H369" s="62"/>
      <c r="I369" s="225">
        <f t="shared" si="0"/>
        <v>0</v>
      </c>
      <c r="J369" s="225">
        <f t="shared" si="1"/>
        <v>0</v>
      </c>
      <c r="K369" s="225">
        <f t="shared" si="2"/>
        <v>0</v>
      </c>
      <c r="L369" s="225">
        <f t="shared" si="3"/>
        <v>0</v>
      </c>
      <c r="M369" s="225">
        <f t="shared" si="4"/>
        <v>0</v>
      </c>
      <c r="O369" s="225">
        <f t="shared" si="5"/>
        <v>0</v>
      </c>
      <c r="P369" s="225">
        <f t="shared" si="6"/>
        <v>0</v>
      </c>
      <c r="Q369" s="225">
        <f t="shared" si="7"/>
        <v>0</v>
      </c>
      <c r="R369" s="225">
        <f t="shared" si="8"/>
        <v>0</v>
      </c>
    </row>
    <row r="370" spans="2:18" hidden="1">
      <c r="B370" s="118"/>
      <c r="C370" s="78"/>
      <c r="D370" s="78"/>
      <c r="E370" s="78"/>
      <c r="F370" s="78"/>
      <c r="G370" s="78"/>
      <c r="H370" s="62"/>
      <c r="I370" s="225">
        <f t="shared" si="0"/>
        <v>0</v>
      </c>
      <c r="J370" s="225">
        <f t="shared" si="1"/>
        <v>0</v>
      </c>
      <c r="K370" s="225">
        <f t="shared" si="2"/>
        <v>0</v>
      </c>
      <c r="L370" s="225">
        <f t="shared" si="3"/>
        <v>0</v>
      </c>
      <c r="M370" s="225">
        <f t="shared" si="4"/>
        <v>0</v>
      </c>
      <c r="O370" s="225">
        <f t="shared" si="5"/>
        <v>0</v>
      </c>
      <c r="P370" s="225">
        <f t="shared" si="6"/>
        <v>0</v>
      </c>
      <c r="Q370" s="225">
        <f t="shared" si="7"/>
        <v>0</v>
      </c>
      <c r="R370" s="225">
        <f t="shared" si="8"/>
        <v>0</v>
      </c>
    </row>
    <row r="371" spans="2:18" hidden="1">
      <c r="B371" s="118"/>
      <c r="C371" s="78"/>
      <c r="D371" s="78"/>
      <c r="E371" s="78"/>
      <c r="F371" s="78"/>
      <c r="G371" s="78"/>
      <c r="H371" s="62"/>
      <c r="I371" s="225">
        <f t="shared" si="0"/>
        <v>0</v>
      </c>
      <c r="J371" s="225">
        <f t="shared" si="1"/>
        <v>0</v>
      </c>
      <c r="K371" s="225">
        <f t="shared" si="2"/>
        <v>0</v>
      </c>
      <c r="L371" s="225">
        <f t="shared" si="3"/>
        <v>0</v>
      </c>
      <c r="M371" s="225">
        <f t="shared" si="4"/>
        <v>0</v>
      </c>
      <c r="O371" s="225">
        <f t="shared" si="5"/>
        <v>0</v>
      </c>
      <c r="P371" s="225">
        <f t="shared" si="6"/>
        <v>0</v>
      </c>
      <c r="Q371" s="225">
        <f t="shared" si="7"/>
        <v>0</v>
      </c>
      <c r="R371" s="225">
        <f t="shared" si="8"/>
        <v>0</v>
      </c>
    </row>
    <row r="372" spans="2:18" hidden="1">
      <c r="B372" s="118"/>
      <c r="C372" s="78"/>
      <c r="D372" s="78"/>
      <c r="E372" s="78"/>
      <c r="F372" s="78"/>
      <c r="G372" s="78"/>
      <c r="H372" s="62"/>
      <c r="I372" s="225">
        <f t="shared" si="0"/>
        <v>0</v>
      </c>
      <c r="J372" s="225">
        <f t="shared" si="1"/>
        <v>0</v>
      </c>
      <c r="K372" s="225">
        <f t="shared" si="2"/>
        <v>0</v>
      </c>
      <c r="L372" s="225">
        <f t="shared" si="3"/>
        <v>0</v>
      </c>
      <c r="M372" s="225">
        <f t="shared" si="4"/>
        <v>0</v>
      </c>
      <c r="O372" s="225">
        <f t="shared" si="5"/>
        <v>0</v>
      </c>
      <c r="P372" s="225">
        <f t="shared" si="6"/>
        <v>0</v>
      </c>
      <c r="Q372" s="225">
        <f t="shared" si="7"/>
        <v>0</v>
      </c>
      <c r="R372" s="225">
        <f t="shared" si="8"/>
        <v>0</v>
      </c>
    </row>
    <row r="373" spans="2:18" hidden="1">
      <c r="B373" s="118"/>
      <c r="C373" s="78"/>
      <c r="D373" s="78"/>
      <c r="E373" s="78"/>
      <c r="F373" s="78"/>
      <c r="G373" s="78"/>
      <c r="H373" s="62"/>
      <c r="I373" s="225">
        <f t="shared" si="0"/>
        <v>0</v>
      </c>
      <c r="J373" s="225">
        <f t="shared" si="1"/>
        <v>0</v>
      </c>
      <c r="K373" s="225">
        <f t="shared" si="2"/>
        <v>0</v>
      </c>
      <c r="L373" s="225">
        <f t="shared" si="3"/>
        <v>0</v>
      </c>
      <c r="M373" s="225">
        <f t="shared" si="4"/>
        <v>0</v>
      </c>
      <c r="O373" s="225">
        <f t="shared" si="5"/>
        <v>0</v>
      </c>
      <c r="P373" s="225">
        <f t="shared" si="6"/>
        <v>0</v>
      </c>
      <c r="Q373" s="225">
        <f t="shared" si="7"/>
        <v>0</v>
      </c>
      <c r="R373" s="225">
        <f t="shared" si="8"/>
        <v>0</v>
      </c>
    </row>
    <row r="374" spans="2:18" hidden="1">
      <c r="B374" s="118"/>
      <c r="C374" s="78"/>
      <c r="D374" s="78"/>
      <c r="E374" s="78"/>
      <c r="F374" s="78"/>
      <c r="G374" s="78"/>
      <c r="H374" s="62"/>
      <c r="I374" s="225">
        <f t="shared" ref="I374:I391" si="9">IFERROR(C374/C$250,0)</f>
        <v>0</v>
      </c>
      <c r="J374" s="225">
        <f t="shared" ref="J374:J391" si="10">IFERROR(D374/D$250,0)</f>
        <v>0</v>
      </c>
      <c r="K374" s="225">
        <f t="shared" ref="K374:K391" si="11">IFERROR(E374/E$250,0)</f>
        <v>0</v>
      </c>
      <c r="L374" s="225">
        <f t="shared" ref="L374:L391" si="12">IFERROR(F374/F$250,0)</f>
        <v>0</v>
      </c>
      <c r="M374" s="225">
        <f t="shared" ref="M374:M391" si="13">IFERROR(G374/G$250,0)</f>
        <v>0</v>
      </c>
      <c r="O374" s="225">
        <f t="shared" ref="O374:O391" si="14">IFERROR(D374/C374-1,0)</f>
        <v>0</v>
      </c>
      <c r="P374" s="225">
        <f t="shared" ref="P374:P391" si="15">IFERROR(E374/D374-1,0)</f>
        <v>0</v>
      </c>
      <c r="Q374" s="225">
        <f t="shared" ref="Q374:Q391" si="16">IFERROR(F374/E374-1,0)</f>
        <v>0</v>
      </c>
      <c r="R374" s="225">
        <f t="shared" ref="R374:R391" si="17">IFERROR(G374/F374-1,0)</f>
        <v>0</v>
      </c>
    </row>
    <row r="375" spans="2:18" hidden="1">
      <c r="B375" s="118"/>
      <c r="C375" s="78"/>
      <c r="D375" s="78"/>
      <c r="E375" s="78"/>
      <c r="F375" s="78"/>
      <c r="G375" s="78"/>
      <c r="H375" s="62"/>
      <c r="I375" s="225">
        <f t="shared" si="9"/>
        <v>0</v>
      </c>
      <c r="J375" s="225">
        <f t="shared" si="10"/>
        <v>0</v>
      </c>
      <c r="K375" s="225">
        <f t="shared" si="11"/>
        <v>0</v>
      </c>
      <c r="L375" s="225">
        <f t="shared" si="12"/>
        <v>0</v>
      </c>
      <c r="M375" s="225">
        <f t="shared" si="13"/>
        <v>0</v>
      </c>
      <c r="O375" s="225">
        <f t="shared" si="14"/>
        <v>0</v>
      </c>
      <c r="P375" s="225">
        <f t="shared" si="15"/>
        <v>0</v>
      </c>
      <c r="Q375" s="225">
        <f t="shared" si="16"/>
        <v>0</v>
      </c>
      <c r="R375" s="225">
        <f t="shared" si="17"/>
        <v>0</v>
      </c>
    </row>
    <row r="376" spans="2:18" hidden="1">
      <c r="B376" s="118"/>
      <c r="C376" s="78"/>
      <c r="D376" s="78"/>
      <c r="E376" s="78"/>
      <c r="F376" s="78"/>
      <c r="G376" s="78"/>
      <c r="H376" s="62"/>
      <c r="I376" s="225">
        <f t="shared" si="9"/>
        <v>0</v>
      </c>
      <c r="J376" s="225">
        <f t="shared" si="10"/>
        <v>0</v>
      </c>
      <c r="K376" s="225">
        <f t="shared" si="11"/>
        <v>0</v>
      </c>
      <c r="L376" s="225">
        <f t="shared" si="12"/>
        <v>0</v>
      </c>
      <c r="M376" s="225">
        <f t="shared" si="13"/>
        <v>0</v>
      </c>
      <c r="O376" s="225">
        <f t="shared" si="14"/>
        <v>0</v>
      </c>
      <c r="P376" s="225">
        <f t="shared" si="15"/>
        <v>0</v>
      </c>
      <c r="Q376" s="225">
        <f t="shared" si="16"/>
        <v>0</v>
      </c>
      <c r="R376" s="225">
        <f t="shared" si="17"/>
        <v>0</v>
      </c>
    </row>
    <row r="377" spans="2:18" hidden="1">
      <c r="B377" s="118"/>
      <c r="C377" s="78"/>
      <c r="D377" s="78"/>
      <c r="E377" s="78"/>
      <c r="F377" s="78"/>
      <c r="G377" s="78"/>
      <c r="H377" s="62"/>
      <c r="I377" s="225">
        <f t="shared" si="9"/>
        <v>0</v>
      </c>
      <c r="J377" s="225">
        <f t="shared" si="10"/>
        <v>0</v>
      </c>
      <c r="K377" s="225">
        <f t="shared" si="11"/>
        <v>0</v>
      </c>
      <c r="L377" s="225">
        <f t="shared" si="12"/>
        <v>0</v>
      </c>
      <c r="M377" s="225">
        <f t="shared" si="13"/>
        <v>0</v>
      </c>
      <c r="O377" s="225">
        <f t="shared" si="14"/>
        <v>0</v>
      </c>
      <c r="P377" s="225">
        <f t="shared" si="15"/>
        <v>0</v>
      </c>
      <c r="Q377" s="225">
        <f t="shared" si="16"/>
        <v>0</v>
      </c>
      <c r="R377" s="225">
        <f t="shared" si="17"/>
        <v>0</v>
      </c>
    </row>
    <row r="378" spans="2:18" hidden="1">
      <c r="B378" s="118"/>
      <c r="C378" s="78"/>
      <c r="D378" s="78"/>
      <c r="E378" s="78"/>
      <c r="F378" s="78"/>
      <c r="G378" s="78"/>
      <c r="H378" s="62"/>
      <c r="I378" s="225">
        <f t="shared" si="9"/>
        <v>0</v>
      </c>
      <c r="J378" s="225">
        <f t="shared" si="10"/>
        <v>0</v>
      </c>
      <c r="K378" s="225">
        <f t="shared" si="11"/>
        <v>0</v>
      </c>
      <c r="L378" s="225">
        <f t="shared" si="12"/>
        <v>0</v>
      </c>
      <c r="M378" s="225">
        <f t="shared" si="13"/>
        <v>0</v>
      </c>
      <c r="O378" s="225">
        <f t="shared" si="14"/>
        <v>0</v>
      </c>
      <c r="P378" s="225">
        <f t="shared" si="15"/>
        <v>0</v>
      </c>
      <c r="Q378" s="225">
        <f t="shared" si="16"/>
        <v>0</v>
      </c>
      <c r="R378" s="225">
        <f t="shared" si="17"/>
        <v>0</v>
      </c>
    </row>
    <row r="379" spans="2:18" hidden="1">
      <c r="B379" s="118"/>
      <c r="C379" s="78"/>
      <c r="D379" s="78"/>
      <c r="E379" s="78"/>
      <c r="F379" s="78"/>
      <c r="G379" s="78"/>
      <c r="H379" s="62"/>
      <c r="I379" s="225">
        <f t="shared" si="9"/>
        <v>0</v>
      </c>
      <c r="J379" s="225">
        <f t="shared" si="10"/>
        <v>0</v>
      </c>
      <c r="K379" s="225">
        <f t="shared" si="11"/>
        <v>0</v>
      </c>
      <c r="L379" s="225">
        <f t="shared" si="12"/>
        <v>0</v>
      </c>
      <c r="M379" s="225">
        <f t="shared" si="13"/>
        <v>0</v>
      </c>
      <c r="O379" s="225">
        <f t="shared" si="14"/>
        <v>0</v>
      </c>
      <c r="P379" s="225">
        <f t="shared" si="15"/>
        <v>0</v>
      </c>
      <c r="Q379" s="225">
        <f t="shared" si="16"/>
        <v>0</v>
      </c>
      <c r="R379" s="225">
        <f t="shared" si="17"/>
        <v>0</v>
      </c>
    </row>
    <row r="380" spans="2:18" hidden="1">
      <c r="B380" s="118"/>
      <c r="C380" s="78"/>
      <c r="D380" s="78"/>
      <c r="E380" s="78"/>
      <c r="F380" s="78"/>
      <c r="G380" s="78"/>
      <c r="H380" s="62"/>
      <c r="I380" s="225">
        <f t="shared" si="9"/>
        <v>0</v>
      </c>
      <c r="J380" s="225">
        <f t="shared" si="10"/>
        <v>0</v>
      </c>
      <c r="K380" s="225">
        <f t="shared" si="11"/>
        <v>0</v>
      </c>
      <c r="L380" s="225">
        <f t="shared" si="12"/>
        <v>0</v>
      </c>
      <c r="M380" s="225">
        <f t="shared" si="13"/>
        <v>0</v>
      </c>
      <c r="O380" s="225">
        <f t="shared" si="14"/>
        <v>0</v>
      </c>
      <c r="P380" s="225">
        <f t="shared" si="15"/>
        <v>0</v>
      </c>
      <c r="Q380" s="225">
        <f t="shared" si="16"/>
        <v>0</v>
      </c>
      <c r="R380" s="225">
        <f t="shared" si="17"/>
        <v>0</v>
      </c>
    </row>
    <row r="381" spans="2:18" hidden="1">
      <c r="B381" s="118"/>
      <c r="C381" s="78"/>
      <c r="D381" s="78"/>
      <c r="E381" s="78"/>
      <c r="F381" s="78"/>
      <c r="G381" s="78"/>
      <c r="H381" s="62"/>
      <c r="I381" s="225">
        <f t="shared" si="9"/>
        <v>0</v>
      </c>
      <c r="J381" s="225">
        <f t="shared" si="10"/>
        <v>0</v>
      </c>
      <c r="K381" s="225">
        <f t="shared" si="11"/>
        <v>0</v>
      </c>
      <c r="L381" s="225">
        <f t="shared" si="12"/>
        <v>0</v>
      </c>
      <c r="M381" s="225">
        <f t="shared" si="13"/>
        <v>0</v>
      </c>
      <c r="O381" s="225">
        <f t="shared" si="14"/>
        <v>0</v>
      </c>
      <c r="P381" s="225">
        <f t="shared" si="15"/>
        <v>0</v>
      </c>
      <c r="Q381" s="225">
        <f t="shared" si="16"/>
        <v>0</v>
      </c>
      <c r="R381" s="225">
        <f t="shared" si="17"/>
        <v>0</v>
      </c>
    </row>
    <row r="382" spans="2:18" hidden="1">
      <c r="B382" s="118"/>
      <c r="C382" s="78"/>
      <c r="D382" s="78"/>
      <c r="E382" s="78"/>
      <c r="F382" s="78"/>
      <c r="G382" s="78"/>
      <c r="H382" s="62"/>
      <c r="I382" s="225">
        <f t="shared" si="9"/>
        <v>0</v>
      </c>
      <c r="J382" s="225">
        <f t="shared" si="10"/>
        <v>0</v>
      </c>
      <c r="K382" s="225">
        <f t="shared" si="11"/>
        <v>0</v>
      </c>
      <c r="L382" s="225">
        <f t="shared" si="12"/>
        <v>0</v>
      </c>
      <c r="M382" s="225">
        <f t="shared" si="13"/>
        <v>0</v>
      </c>
      <c r="O382" s="225">
        <f t="shared" si="14"/>
        <v>0</v>
      </c>
      <c r="P382" s="225">
        <f t="shared" si="15"/>
        <v>0</v>
      </c>
      <c r="Q382" s="225">
        <f t="shared" si="16"/>
        <v>0</v>
      </c>
      <c r="R382" s="225">
        <f t="shared" si="17"/>
        <v>0</v>
      </c>
    </row>
    <row r="383" spans="2:18" hidden="1">
      <c r="B383" s="118"/>
      <c r="C383" s="78"/>
      <c r="D383" s="78"/>
      <c r="E383" s="78"/>
      <c r="F383" s="78"/>
      <c r="G383" s="78"/>
      <c r="H383" s="62"/>
      <c r="I383" s="225">
        <f t="shared" si="9"/>
        <v>0</v>
      </c>
      <c r="J383" s="225">
        <f t="shared" si="10"/>
        <v>0</v>
      </c>
      <c r="K383" s="225">
        <f t="shared" si="11"/>
        <v>0</v>
      </c>
      <c r="L383" s="225">
        <f t="shared" si="12"/>
        <v>0</v>
      </c>
      <c r="M383" s="225">
        <f t="shared" si="13"/>
        <v>0</v>
      </c>
      <c r="O383" s="225">
        <f t="shared" si="14"/>
        <v>0</v>
      </c>
      <c r="P383" s="225">
        <f t="shared" si="15"/>
        <v>0</v>
      </c>
      <c r="Q383" s="225">
        <f t="shared" si="16"/>
        <v>0</v>
      </c>
      <c r="R383" s="225">
        <f t="shared" si="17"/>
        <v>0</v>
      </c>
    </row>
    <row r="384" spans="2:18" hidden="1">
      <c r="B384" s="118"/>
      <c r="C384" s="78"/>
      <c r="D384" s="78"/>
      <c r="E384" s="78"/>
      <c r="F384" s="78"/>
      <c r="G384" s="78"/>
      <c r="H384" s="62"/>
      <c r="I384" s="225">
        <f t="shared" si="9"/>
        <v>0</v>
      </c>
      <c r="J384" s="225">
        <f t="shared" si="10"/>
        <v>0</v>
      </c>
      <c r="K384" s="225">
        <f t="shared" si="11"/>
        <v>0</v>
      </c>
      <c r="L384" s="225">
        <f t="shared" si="12"/>
        <v>0</v>
      </c>
      <c r="M384" s="225">
        <f t="shared" si="13"/>
        <v>0</v>
      </c>
      <c r="O384" s="225">
        <f t="shared" si="14"/>
        <v>0</v>
      </c>
      <c r="P384" s="225">
        <f t="shared" si="15"/>
        <v>0</v>
      </c>
      <c r="Q384" s="225">
        <f t="shared" si="16"/>
        <v>0</v>
      </c>
      <c r="R384" s="225">
        <f t="shared" si="17"/>
        <v>0</v>
      </c>
    </row>
    <row r="385" spans="1:18" hidden="1">
      <c r="B385" s="118"/>
      <c r="C385" s="78"/>
      <c r="D385" s="78"/>
      <c r="E385" s="78"/>
      <c r="F385" s="78"/>
      <c r="G385" s="78"/>
      <c r="H385" s="62"/>
      <c r="I385" s="225">
        <f t="shared" si="9"/>
        <v>0</v>
      </c>
      <c r="J385" s="225">
        <f t="shared" si="10"/>
        <v>0</v>
      </c>
      <c r="K385" s="225">
        <f t="shared" si="11"/>
        <v>0</v>
      </c>
      <c r="L385" s="225">
        <f t="shared" si="12"/>
        <v>0</v>
      </c>
      <c r="M385" s="225">
        <f t="shared" si="13"/>
        <v>0</v>
      </c>
      <c r="O385" s="225">
        <f t="shared" si="14"/>
        <v>0</v>
      </c>
      <c r="P385" s="225">
        <f t="shared" si="15"/>
        <v>0</v>
      </c>
      <c r="Q385" s="225">
        <f t="shared" si="16"/>
        <v>0</v>
      </c>
      <c r="R385" s="225">
        <f t="shared" si="17"/>
        <v>0</v>
      </c>
    </row>
    <row r="386" spans="1:18" hidden="1">
      <c r="B386" s="118"/>
      <c r="C386" s="78"/>
      <c r="D386" s="78"/>
      <c r="E386" s="78"/>
      <c r="F386" s="78"/>
      <c r="G386" s="78"/>
      <c r="H386" s="62"/>
      <c r="I386" s="225">
        <f t="shared" si="9"/>
        <v>0</v>
      </c>
      <c r="J386" s="225">
        <f t="shared" si="10"/>
        <v>0</v>
      </c>
      <c r="K386" s="225">
        <f t="shared" si="11"/>
        <v>0</v>
      </c>
      <c r="L386" s="225">
        <f t="shared" si="12"/>
        <v>0</v>
      </c>
      <c r="M386" s="225">
        <f t="shared" si="13"/>
        <v>0</v>
      </c>
      <c r="O386" s="225">
        <f t="shared" si="14"/>
        <v>0</v>
      </c>
      <c r="P386" s="225">
        <f t="shared" si="15"/>
        <v>0</v>
      </c>
      <c r="Q386" s="225">
        <f t="shared" si="16"/>
        <v>0</v>
      </c>
      <c r="R386" s="225">
        <f t="shared" si="17"/>
        <v>0</v>
      </c>
    </row>
    <row r="387" spans="1:18" hidden="1">
      <c r="B387" s="118"/>
      <c r="C387" s="78"/>
      <c r="D387" s="78"/>
      <c r="E387" s="78"/>
      <c r="F387" s="78"/>
      <c r="G387" s="78"/>
      <c r="H387" s="62"/>
      <c r="I387" s="225">
        <f t="shared" si="9"/>
        <v>0</v>
      </c>
      <c r="J387" s="225">
        <f t="shared" si="10"/>
        <v>0</v>
      </c>
      <c r="K387" s="225">
        <f t="shared" si="11"/>
        <v>0</v>
      </c>
      <c r="L387" s="225">
        <f t="shared" si="12"/>
        <v>0</v>
      </c>
      <c r="M387" s="225">
        <f t="shared" si="13"/>
        <v>0</v>
      </c>
      <c r="O387" s="225">
        <f t="shared" si="14"/>
        <v>0</v>
      </c>
      <c r="P387" s="225">
        <f t="shared" si="15"/>
        <v>0</v>
      </c>
      <c r="Q387" s="225">
        <f t="shared" si="16"/>
        <v>0</v>
      </c>
      <c r="R387" s="225">
        <f t="shared" si="17"/>
        <v>0</v>
      </c>
    </row>
    <row r="388" spans="1:18" hidden="1">
      <c r="B388" s="118"/>
      <c r="C388" s="78"/>
      <c r="D388" s="78"/>
      <c r="E388" s="78"/>
      <c r="F388" s="78"/>
      <c r="G388" s="78"/>
      <c r="H388" s="62"/>
      <c r="I388" s="225">
        <f t="shared" si="9"/>
        <v>0</v>
      </c>
      <c r="J388" s="225">
        <f t="shared" si="10"/>
        <v>0</v>
      </c>
      <c r="K388" s="225">
        <f t="shared" si="11"/>
        <v>0</v>
      </c>
      <c r="L388" s="225">
        <f t="shared" si="12"/>
        <v>0</v>
      </c>
      <c r="M388" s="225">
        <f t="shared" si="13"/>
        <v>0</v>
      </c>
      <c r="O388" s="225">
        <f t="shared" si="14"/>
        <v>0</v>
      </c>
      <c r="P388" s="225">
        <f t="shared" si="15"/>
        <v>0</v>
      </c>
      <c r="Q388" s="225">
        <f t="shared" si="16"/>
        <v>0</v>
      </c>
      <c r="R388" s="225">
        <f t="shared" si="17"/>
        <v>0</v>
      </c>
    </row>
    <row r="389" spans="1:18" hidden="1">
      <c r="B389" s="118"/>
      <c r="C389" s="78"/>
      <c r="D389" s="78"/>
      <c r="E389" s="78"/>
      <c r="F389" s="78"/>
      <c r="G389" s="78"/>
      <c r="H389" s="62"/>
      <c r="I389" s="225">
        <f t="shared" si="9"/>
        <v>0</v>
      </c>
      <c r="J389" s="225">
        <f t="shared" si="10"/>
        <v>0</v>
      </c>
      <c r="K389" s="225">
        <f t="shared" si="11"/>
        <v>0</v>
      </c>
      <c r="L389" s="225">
        <f t="shared" si="12"/>
        <v>0</v>
      </c>
      <c r="M389" s="225">
        <f t="shared" si="13"/>
        <v>0</v>
      </c>
      <c r="O389" s="225">
        <f t="shared" si="14"/>
        <v>0</v>
      </c>
      <c r="P389" s="225">
        <f t="shared" si="15"/>
        <v>0</v>
      </c>
      <c r="Q389" s="225">
        <f t="shared" si="16"/>
        <v>0</v>
      </c>
      <c r="R389" s="225">
        <f t="shared" si="17"/>
        <v>0</v>
      </c>
    </row>
    <row r="390" spans="1:18" hidden="1">
      <c r="B390" s="118"/>
      <c r="C390" s="78"/>
      <c r="D390" s="78"/>
      <c r="E390" s="78"/>
      <c r="F390" s="78"/>
      <c r="G390" s="78"/>
      <c r="H390" s="62"/>
      <c r="I390" s="225">
        <f t="shared" si="9"/>
        <v>0</v>
      </c>
      <c r="J390" s="225">
        <f t="shared" si="10"/>
        <v>0</v>
      </c>
      <c r="K390" s="225">
        <f t="shared" si="11"/>
        <v>0</v>
      </c>
      <c r="L390" s="225">
        <f t="shared" si="12"/>
        <v>0</v>
      </c>
      <c r="M390" s="225">
        <f t="shared" si="13"/>
        <v>0</v>
      </c>
      <c r="O390" s="225">
        <f t="shared" si="14"/>
        <v>0</v>
      </c>
      <c r="P390" s="225">
        <f t="shared" si="15"/>
        <v>0</v>
      </c>
      <c r="Q390" s="225">
        <f t="shared" si="16"/>
        <v>0</v>
      </c>
      <c r="R390" s="225">
        <f t="shared" si="17"/>
        <v>0</v>
      </c>
    </row>
    <row r="391" spans="1:18">
      <c r="B391" s="118" t="s">
        <v>251</v>
      </c>
      <c r="C391" s="78"/>
      <c r="D391" s="78"/>
      <c r="E391" s="78"/>
      <c r="F391" s="78"/>
      <c r="G391" s="78"/>
      <c r="I391" s="225">
        <f t="shared" si="9"/>
        <v>0</v>
      </c>
      <c r="J391" s="225">
        <f t="shared" si="10"/>
        <v>0</v>
      </c>
      <c r="K391" s="225">
        <f t="shared" si="11"/>
        <v>0</v>
      </c>
      <c r="L391" s="225">
        <f t="shared" si="12"/>
        <v>0</v>
      </c>
      <c r="M391" s="225">
        <f t="shared" si="13"/>
        <v>0</v>
      </c>
      <c r="O391" s="225">
        <f t="shared" si="14"/>
        <v>0</v>
      </c>
      <c r="P391" s="225">
        <f t="shared" si="15"/>
        <v>0</v>
      </c>
      <c r="Q391" s="225">
        <f t="shared" si="16"/>
        <v>0</v>
      </c>
      <c r="R391" s="225">
        <f t="shared" si="17"/>
        <v>0</v>
      </c>
    </row>
    <row r="392" spans="1:18">
      <c r="B392" s="118"/>
      <c r="C392" s="78"/>
      <c r="D392" s="78"/>
      <c r="E392" s="78"/>
      <c r="F392" s="78"/>
      <c r="G392" s="78"/>
    </row>
    <row r="393" spans="1:18" s="216" customFormat="1">
      <c r="A393" s="217"/>
      <c r="B393" s="221" t="s">
        <v>252</v>
      </c>
      <c r="C393" s="222">
        <f>SUM(C394:C450)</f>
        <v>0</v>
      </c>
      <c r="D393" s="222">
        <f>SUM(D394:D450)</f>
        <v>0</v>
      </c>
      <c r="E393" s="222">
        <f>SUM(E394:E450)</f>
        <v>0</v>
      </c>
      <c r="F393" s="222">
        <f>SUM(F394:F450)</f>
        <v>0</v>
      </c>
      <c r="G393" s="222">
        <f>SUM(G394:G450)</f>
        <v>0</v>
      </c>
      <c r="H393" s="222"/>
      <c r="I393" s="230">
        <f t="shared" ref="I393:I424" si="18">IFERROR(C393/C$250,0)</f>
        <v>0</v>
      </c>
      <c r="J393" s="230">
        <f t="shared" ref="J393:J424" si="19">IFERROR(D393/D$250,0)</f>
        <v>0</v>
      </c>
      <c r="K393" s="230">
        <f t="shared" ref="K393:K424" si="20">IFERROR(E393/E$250,0)</f>
        <v>0</v>
      </c>
      <c r="L393" s="230">
        <f t="shared" ref="L393:L424" si="21">IFERROR(F393/F$250,0)</f>
        <v>0</v>
      </c>
      <c r="M393" s="230">
        <f t="shared" ref="M393:M424" si="22">IFERROR(G393/G$250,0)</f>
        <v>0</v>
      </c>
      <c r="N393" s="230"/>
      <c r="O393" s="230">
        <f t="shared" ref="O393:O424" si="23">IFERROR(D393/C393-1,0)</f>
        <v>0</v>
      </c>
      <c r="P393" s="230">
        <f t="shared" ref="P393:P424" si="24">IFERROR(E393/D393-1,0)</f>
        <v>0</v>
      </c>
      <c r="Q393" s="230">
        <f t="shared" ref="Q393:Q424" si="25">IFERROR(F393/E393-1,0)</f>
        <v>0</v>
      </c>
      <c r="R393" s="230">
        <f t="shared" ref="R393:R424" si="26">IFERROR(G393/F393-1,0)</f>
        <v>0</v>
      </c>
    </row>
    <row r="394" spans="1:18">
      <c r="B394" s="213" t="s">
        <v>253</v>
      </c>
      <c r="C394" s="70"/>
      <c r="D394" s="70"/>
      <c r="E394" s="70"/>
      <c r="F394" s="70"/>
      <c r="G394" s="70"/>
      <c r="H394" s="96"/>
      <c r="I394" s="225">
        <f t="shared" si="18"/>
        <v>0</v>
      </c>
      <c r="J394" s="225">
        <f t="shared" si="19"/>
        <v>0</v>
      </c>
      <c r="K394" s="225">
        <f t="shared" si="20"/>
        <v>0</v>
      </c>
      <c r="L394" s="225">
        <f t="shared" si="21"/>
        <v>0</v>
      </c>
      <c r="M394" s="225">
        <f t="shared" si="22"/>
        <v>0</v>
      </c>
      <c r="O394" s="225">
        <f t="shared" si="23"/>
        <v>0</v>
      </c>
      <c r="P394" s="225">
        <f t="shared" si="24"/>
        <v>0</v>
      </c>
      <c r="Q394" s="225">
        <f t="shared" si="25"/>
        <v>0</v>
      </c>
      <c r="R394" s="225">
        <f t="shared" si="26"/>
        <v>0</v>
      </c>
    </row>
    <row r="395" spans="1:18">
      <c r="B395" s="106" t="s">
        <v>254</v>
      </c>
      <c r="C395" s="4"/>
      <c r="D395" s="4"/>
      <c r="E395" s="4"/>
      <c r="F395" s="4"/>
      <c r="G395" s="4"/>
      <c r="H395" s="96"/>
      <c r="I395" s="225">
        <f t="shared" si="18"/>
        <v>0</v>
      </c>
      <c r="J395" s="225">
        <f t="shared" si="19"/>
        <v>0</v>
      </c>
      <c r="K395" s="225">
        <f t="shared" si="20"/>
        <v>0</v>
      </c>
      <c r="L395" s="225">
        <f t="shared" si="21"/>
        <v>0</v>
      </c>
      <c r="M395" s="225">
        <f t="shared" si="22"/>
        <v>0</v>
      </c>
      <c r="O395" s="225">
        <f t="shared" si="23"/>
        <v>0</v>
      </c>
      <c r="P395" s="225">
        <f t="shared" si="24"/>
        <v>0</v>
      </c>
      <c r="Q395" s="225">
        <f t="shared" si="25"/>
        <v>0</v>
      </c>
      <c r="R395" s="225">
        <f t="shared" si="26"/>
        <v>0</v>
      </c>
    </row>
    <row r="396" spans="1:18">
      <c r="B396" s="106" t="s">
        <v>255</v>
      </c>
      <c r="C396" s="4"/>
      <c r="D396" s="4"/>
      <c r="E396" s="4"/>
      <c r="F396" s="4"/>
      <c r="G396" s="4"/>
      <c r="H396" s="96"/>
      <c r="I396" s="225">
        <f t="shared" si="18"/>
        <v>0</v>
      </c>
      <c r="J396" s="225">
        <f t="shared" si="19"/>
        <v>0</v>
      </c>
      <c r="K396" s="225">
        <f t="shared" si="20"/>
        <v>0</v>
      </c>
      <c r="L396" s="225">
        <f t="shared" si="21"/>
        <v>0</v>
      </c>
      <c r="M396" s="225">
        <f t="shared" si="22"/>
        <v>0</v>
      </c>
      <c r="O396" s="225">
        <f t="shared" si="23"/>
        <v>0</v>
      </c>
      <c r="P396" s="225">
        <f t="shared" si="24"/>
        <v>0</v>
      </c>
      <c r="Q396" s="225">
        <f t="shared" si="25"/>
        <v>0</v>
      </c>
      <c r="R396" s="225">
        <f t="shared" si="26"/>
        <v>0</v>
      </c>
    </row>
    <row r="397" spans="1:18">
      <c r="B397" s="106" t="s">
        <v>256</v>
      </c>
      <c r="C397" s="70"/>
      <c r="D397" s="70"/>
      <c r="E397" s="70"/>
      <c r="F397" s="70"/>
      <c r="G397" s="70"/>
      <c r="H397" s="96"/>
      <c r="I397" s="225">
        <f t="shared" si="18"/>
        <v>0</v>
      </c>
      <c r="J397" s="225">
        <f t="shared" si="19"/>
        <v>0</v>
      </c>
      <c r="K397" s="225">
        <f t="shared" si="20"/>
        <v>0</v>
      </c>
      <c r="L397" s="225">
        <f t="shared" si="21"/>
        <v>0</v>
      </c>
      <c r="M397" s="225">
        <f t="shared" si="22"/>
        <v>0</v>
      </c>
      <c r="O397" s="225">
        <f t="shared" si="23"/>
        <v>0</v>
      </c>
      <c r="P397" s="225">
        <f t="shared" si="24"/>
        <v>0</v>
      </c>
      <c r="Q397" s="225">
        <f t="shared" si="25"/>
        <v>0</v>
      </c>
      <c r="R397" s="225">
        <f t="shared" si="26"/>
        <v>0</v>
      </c>
    </row>
    <row r="398" spans="1:18">
      <c r="B398" s="106" t="s">
        <v>257</v>
      </c>
      <c r="C398" s="70"/>
      <c r="D398" s="70"/>
      <c r="E398" s="70"/>
      <c r="F398" s="70"/>
      <c r="G398" s="70"/>
      <c r="H398" s="96"/>
      <c r="I398" s="225">
        <f t="shared" si="18"/>
        <v>0</v>
      </c>
      <c r="J398" s="225">
        <f t="shared" si="19"/>
        <v>0</v>
      </c>
      <c r="K398" s="225">
        <f t="shared" si="20"/>
        <v>0</v>
      </c>
      <c r="L398" s="225">
        <f t="shared" si="21"/>
        <v>0</v>
      </c>
      <c r="M398" s="225">
        <f t="shared" si="22"/>
        <v>0</v>
      </c>
      <c r="O398" s="225">
        <f t="shared" si="23"/>
        <v>0</v>
      </c>
      <c r="P398" s="225">
        <f t="shared" si="24"/>
        <v>0</v>
      </c>
      <c r="Q398" s="225">
        <f t="shared" si="25"/>
        <v>0</v>
      </c>
      <c r="R398" s="225">
        <f t="shared" si="26"/>
        <v>0</v>
      </c>
    </row>
    <row r="399" spans="1:18">
      <c r="B399" s="106" t="s">
        <v>258</v>
      </c>
      <c r="C399" s="70"/>
      <c r="D399" s="70"/>
      <c r="E399" s="70"/>
      <c r="F399" s="70"/>
      <c r="G399" s="70"/>
      <c r="H399" s="96"/>
      <c r="I399" s="225">
        <f t="shared" si="18"/>
        <v>0</v>
      </c>
      <c r="J399" s="225">
        <f t="shared" si="19"/>
        <v>0</v>
      </c>
      <c r="K399" s="225">
        <f t="shared" si="20"/>
        <v>0</v>
      </c>
      <c r="L399" s="225">
        <f t="shared" si="21"/>
        <v>0</v>
      </c>
      <c r="M399" s="225">
        <f t="shared" si="22"/>
        <v>0</v>
      </c>
      <c r="O399" s="225">
        <f t="shared" si="23"/>
        <v>0</v>
      </c>
      <c r="P399" s="225">
        <f t="shared" si="24"/>
        <v>0</v>
      </c>
      <c r="Q399" s="225">
        <f t="shared" si="25"/>
        <v>0</v>
      </c>
      <c r="R399" s="225">
        <f t="shared" si="26"/>
        <v>0</v>
      </c>
    </row>
    <row r="400" spans="1:18">
      <c r="B400" s="106" t="s">
        <v>259</v>
      </c>
      <c r="C400" s="70"/>
      <c r="D400" s="70"/>
      <c r="E400" s="70"/>
      <c r="F400" s="70"/>
      <c r="G400" s="70"/>
      <c r="H400" s="96"/>
      <c r="I400" s="225">
        <f t="shared" si="18"/>
        <v>0</v>
      </c>
      <c r="J400" s="225">
        <f t="shared" si="19"/>
        <v>0</v>
      </c>
      <c r="K400" s="225">
        <f t="shared" si="20"/>
        <v>0</v>
      </c>
      <c r="L400" s="225">
        <f t="shared" si="21"/>
        <v>0</v>
      </c>
      <c r="M400" s="225">
        <f t="shared" si="22"/>
        <v>0</v>
      </c>
      <c r="O400" s="225">
        <f t="shared" si="23"/>
        <v>0</v>
      </c>
      <c r="P400" s="225">
        <f t="shared" si="24"/>
        <v>0</v>
      </c>
      <c r="Q400" s="225">
        <f t="shared" si="25"/>
        <v>0</v>
      </c>
      <c r="R400" s="225">
        <f t="shared" si="26"/>
        <v>0</v>
      </c>
    </row>
    <row r="401" spans="2:18">
      <c r="B401" s="106" t="s">
        <v>260</v>
      </c>
      <c r="C401" s="70"/>
      <c r="D401" s="70"/>
      <c r="E401" s="70"/>
      <c r="F401" s="70"/>
      <c r="G401" s="70"/>
      <c r="H401" s="96"/>
      <c r="I401" s="225">
        <f t="shared" si="18"/>
        <v>0</v>
      </c>
      <c r="J401" s="225">
        <f t="shared" si="19"/>
        <v>0</v>
      </c>
      <c r="K401" s="225">
        <f t="shared" si="20"/>
        <v>0</v>
      </c>
      <c r="L401" s="225">
        <f t="shared" si="21"/>
        <v>0</v>
      </c>
      <c r="M401" s="225">
        <f t="shared" si="22"/>
        <v>0</v>
      </c>
      <c r="O401" s="225">
        <f t="shared" si="23"/>
        <v>0</v>
      </c>
      <c r="P401" s="225">
        <f t="shared" si="24"/>
        <v>0</v>
      </c>
      <c r="Q401" s="225">
        <f t="shared" si="25"/>
        <v>0</v>
      </c>
      <c r="R401" s="225">
        <f t="shared" si="26"/>
        <v>0</v>
      </c>
    </row>
    <row r="402" spans="2:18">
      <c r="B402" s="106" t="s">
        <v>261</v>
      </c>
      <c r="C402" s="70"/>
      <c r="D402" s="70"/>
      <c r="E402" s="70"/>
      <c r="F402" s="70"/>
      <c r="G402" s="70"/>
      <c r="H402" s="96"/>
      <c r="I402" s="225">
        <f t="shared" si="18"/>
        <v>0</v>
      </c>
      <c r="J402" s="225">
        <f t="shared" si="19"/>
        <v>0</v>
      </c>
      <c r="K402" s="225">
        <f t="shared" si="20"/>
        <v>0</v>
      </c>
      <c r="L402" s="225">
        <f t="shared" si="21"/>
        <v>0</v>
      </c>
      <c r="M402" s="225">
        <f t="shared" si="22"/>
        <v>0</v>
      </c>
      <c r="O402" s="225">
        <f t="shared" si="23"/>
        <v>0</v>
      </c>
      <c r="P402" s="225">
        <f t="shared" si="24"/>
        <v>0</v>
      </c>
      <c r="Q402" s="225">
        <f t="shared" si="25"/>
        <v>0</v>
      </c>
      <c r="R402" s="225">
        <f t="shared" si="26"/>
        <v>0</v>
      </c>
    </row>
    <row r="403" spans="2:18">
      <c r="B403" s="106" t="s">
        <v>262</v>
      </c>
      <c r="H403" s="96"/>
      <c r="I403" s="225">
        <f t="shared" si="18"/>
        <v>0</v>
      </c>
      <c r="J403" s="225">
        <f t="shared" si="19"/>
        <v>0</v>
      </c>
      <c r="K403" s="225">
        <f t="shared" si="20"/>
        <v>0</v>
      </c>
      <c r="L403" s="225">
        <f t="shared" si="21"/>
        <v>0</v>
      </c>
      <c r="M403" s="225">
        <f t="shared" si="22"/>
        <v>0</v>
      </c>
      <c r="O403" s="225">
        <f t="shared" si="23"/>
        <v>0</v>
      </c>
      <c r="P403" s="225">
        <f t="shared" si="24"/>
        <v>0</v>
      </c>
      <c r="Q403" s="225">
        <f t="shared" si="25"/>
        <v>0</v>
      </c>
      <c r="R403" s="225">
        <f t="shared" si="26"/>
        <v>0</v>
      </c>
    </row>
    <row r="404" spans="2:18">
      <c r="B404" s="106" t="s">
        <v>263</v>
      </c>
      <c r="H404" s="96"/>
      <c r="I404" s="225">
        <f t="shared" si="18"/>
        <v>0</v>
      </c>
      <c r="J404" s="225">
        <f t="shared" si="19"/>
        <v>0</v>
      </c>
      <c r="K404" s="225">
        <f t="shared" si="20"/>
        <v>0</v>
      </c>
      <c r="L404" s="225">
        <f t="shared" si="21"/>
        <v>0</v>
      </c>
      <c r="M404" s="225">
        <f t="shared" si="22"/>
        <v>0</v>
      </c>
      <c r="O404" s="225">
        <f t="shared" si="23"/>
        <v>0</v>
      </c>
      <c r="P404" s="225">
        <f t="shared" si="24"/>
        <v>0</v>
      </c>
      <c r="Q404" s="225">
        <f t="shared" si="25"/>
        <v>0</v>
      </c>
      <c r="R404" s="225">
        <f t="shared" si="26"/>
        <v>0</v>
      </c>
    </row>
    <row r="405" spans="2:18">
      <c r="B405" s="106" t="s">
        <v>264</v>
      </c>
      <c r="H405" s="96"/>
      <c r="I405" s="225">
        <f t="shared" si="18"/>
        <v>0</v>
      </c>
      <c r="J405" s="225">
        <f t="shared" si="19"/>
        <v>0</v>
      </c>
      <c r="K405" s="225">
        <f t="shared" si="20"/>
        <v>0</v>
      </c>
      <c r="L405" s="225">
        <f t="shared" si="21"/>
        <v>0</v>
      </c>
      <c r="M405" s="225">
        <f t="shared" si="22"/>
        <v>0</v>
      </c>
      <c r="O405" s="225">
        <f t="shared" si="23"/>
        <v>0</v>
      </c>
      <c r="P405" s="225">
        <f t="shared" si="24"/>
        <v>0</v>
      </c>
      <c r="Q405" s="225">
        <f t="shared" si="25"/>
        <v>0</v>
      </c>
      <c r="R405" s="225">
        <f t="shared" si="26"/>
        <v>0</v>
      </c>
    </row>
    <row r="406" spans="2:18">
      <c r="B406" s="106" t="s">
        <v>265</v>
      </c>
      <c r="H406" s="96"/>
      <c r="I406" s="225">
        <f t="shared" si="18"/>
        <v>0</v>
      </c>
      <c r="J406" s="225">
        <f t="shared" si="19"/>
        <v>0</v>
      </c>
      <c r="K406" s="225">
        <f t="shared" si="20"/>
        <v>0</v>
      </c>
      <c r="L406" s="225">
        <f t="shared" si="21"/>
        <v>0</v>
      </c>
      <c r="M406" s="225">
        <f t="shared" si="22"/>
        <v>0</v>
      </c>
      <c r="O406" s="225">
        <f t="shared" si="23"/>
        <v>0</v>
      </c>
      <c r="P406" s="225">
        <f t="shared" si="24"/>
        <v>0</v>
      </c>
      <c r="Q406" s="225">
        <f t="shared" si="25"/>
        <v>0</v>
      </c>
      <c r="R406" s="225">
        <f t="shared" si="26"/>
        <v>0</v>
      </c>
    </row>
    <row r="407" spans="2:18">
      <c r="B407" s="106" t="s">
        <v>266</v>
      </c>
      <c r="H407" s="96"/>
      <c r="I407" s="225">
        <f t="shared" si="18"/>
        <v>0</v>
      </c>
      <c r="J407" s="225">
        <f t="shared" si="19"/>
        <v>0</v>
      </c>
      <c r="K407" s="225">
        <f t="shared" si="20"/>
        <v>0</v>
      </c>
      <c r="L407" s="225">
        <f t="shared" si="21"/>
        <v>0</v>
      </c>
      <c r="M407" s="225">
        <f t="shared" si="22"/>
        <v>0</v>
      </c>
      <c r="O407" s="225">
        <f t="shared" si="23"/>
        <v>0</v>
      </c>
      <c r="P407" s="225">
        <f t="shared" si="24"/>
        <v>0</v>
      </c>
      <c r="Q407" s="225">
        <f t="shared" si="25"/>
        <v>0</v>
      </c>
      <c r="R407" s="225">
        <f t="shared" si="26"/>
        <v>0</v>
      </c>
    </row>
    <row r="408" spans="2:18">
      <c r="B408" s="106" t="s">
        <v>267</v>
      </c>
      <c r="H408" s="96"/>
      <c r="I408" s="225">
        <f t="shared" si="18"/>
        <v>0</v>
      </c>
      <c r="J408" s="225">
        <f t="shared" si="19"/>
        <v>0</v>
      </c>
      <c r="K408" s="225">
        <f t="shared" si="20"/>
        <v>0</v>
      </c>
      <c r="L408" s="225">
        <f t="shared" si="21"/>
        <v>0</v>
      </c>
      <c r="M408" s="225">
        <f t="shared" si="22"/>
        <v>0</v>
      </c>
      <c r="O408" s="225">
        <f t="shared" si="23"/>
        <v>0</v>
      </c>
      <c r="P408" s="225">
        <f t="shared" si="24"/>
        <v>0</v>
      </c>
      <c r="Q408" s="225">
        <f t="shared" si="25"/>
        <v>0</v>
      </c>
      <c r="R408" s="225">
        <f t="shared" si="26"/>
        <v>0</v>
      </c>
    </row>
    <row r="409" spans="2:18">
      <c r="B409" s="106" t="s">
        <v>268</v>
      </c>
      <c r="H409" s="96"/>
      <c r="I409" s="225">
        <f t="shared" si="18"/>
        <v>0</v>
      </c>
      <c r="J409" s="225">
        <f t="shared" si="19"/>
        <v>0</v>
      </c>
      <c r="K409" s="225">
        <f t="shared" si="20"/>
        <v>0</v>
      </c>
      <c r="L409" s="225">
        <f t="shared" si="21"/>
        <v>0</v>
      </c>
      <c r="M409" s="225">
        <f t="shared" si="22"/>
        <v>0</v>
      </c>
      <c r="O409" s="225">
        <f t="shared" si="23"/>
        <v>0</v>
      </c>
      <c r="P409" s="225">
        <f t="shared" si="24"/>
        <v>0</v>
      </c>
      <c r="Q409" s="225">
        <f t="shared" si="25"/>
        <v>0</v>
      </c>
      <c r="R409" s="225">
        <f t="shared" si="26"/>
        <v>0</v>
      </c>
    </row>
    <row r="410" spans="2:18">
      <c r="B410" s="106" t="s">
        <v>269</v>
      </c>
      <c r="H410" s="96"/>
      <c r="I410" s="225">
        <f t="shared" si="18"/>
        <v>0</v>
      </c>
      <c r="J410" s="225">
        <f t="shared" si="19"/>
        <v>0</v>
      </c>
      <c r="K410" s="225">
        <f t="shared" si="20"/>
        <v>0</v>
      </c>
      <c r="L410" s="225">
        <f t="shared" si="21"/>
        <v>0</v>
      </c>
      <c r="M410" s="225">
        <f t="shared" si="22"/>
        <v>0</v>
      </c>
      <c r="O410" s="225">
        <f t="shared" si="23"/>
        <v>0</v>
      </c>
      <c r="P410" s="225">
        <f t="shared" si="24"/>
        <v>0</v>
      </c>
      <c r="Q410" s="225">
        <f t="shared" si="25"/>
        <v>0</v>
      </c>
      <c r="R410" s="225">
        <f t="shared" si="26"/>
        <v>0</v>
      </c>
    </row>
    <row r="411" spans="2:18">
      <c r="B411" s="106" t="s">
        <v>270</v>
      </c>
      <c r="H411" s="96"/>
      <c r="I411" s="225">
        <f t="shared" si="18"/>
        <v>0</v>
      </c>
      <c r="J411" s="225">
        <f t="shared" si="19"/>
        <v>0</v>
      </c>
      <c r="K411" s="225">
        <f t="shared" si="20"/>
        <v>0</v>
      </c>
      <c r="L411" s="225">
        <f t="shared" si="21"/>
        <v>0</v>
      </c>
      <c r="M411" s="225">
        <f t="shared" si="22"/>
        <v>0</v>
      </c>
      <c r="O411" s="225">
        <f t="shared" si="23"/>
        <v>0</v>
      </c>
      <c r="P411" s="225">
        <f t="shared" si="24"/>
        <v>0</v>
      </c>
      <c r="Q411" s="225">
        <f t="shared" si="25"/>
        <v>0</v>
      </c>
      <c r="R411" s="225">
        <f t="shared" si="26"/>
        <v>0</v>
      </c>
    </row>
    <row r="412" spans="2:18">
      <c r="B412" s="120" t="s">
        <v>271</v>
      </c>
      <c r="H412" s="96"/>
      <c r="I412" s="225">
        <f t="shared" si="18"/>
        <v>0</v>
      </c>
      <c r="J412" s="225">
        <f t="shared" si="19"/>
        <v>0</v>
      </c>
      <c r="K412" s="225">
        <f t="shared" si="20"/>
        <v>0</v>
      </c>
      <c r="L412" s="225">
        <f t="shared" si="21"/>
        <v>0</v>
      </c>
      <c r="M412" s="225">
        <f t="shared" si="22"/>
        <v>0</v>
      </c>
      <c r="O412" s="225">
        <f t="shared" si="23"/>
        <v>0</v>
      </c>
      <c r="P412" s="225">
        <f t="shared" si="24"/>
        <v>0</v>
      </c>
      <c r="Q412" s="225">
        <f t="shared" si="25"/>
        <v>0</v>
      </c>
      <c r="R412" s="225">
        <f t="shared" si="26"/>
        <v>0</v>
      </c>
    </row>
    <row r="413" spans="2:18">
      <c r="B413" s="120" t="s">
        <v>272</v>
      </c>
      <c r="H413" s="96"/>
      <c r="I413" s="225">
        <f t="shared" si="18"/>
        <v>0</v>
      </c>
      <c r="J413" s="225">
        <f t="shared" si="19"/>
        <v>0</v>
      </c>
      <c r="K413" s="225">
        <f t="shared" si="20"/>
        <v>0</v>
      </c>
      <c r="L413" s="225">
        <f t="shared" si="21"/>
        <v>0</v>
      </c>
      <c r="M413" s="225">
        <f t="shared" si="22"/>
        <v>0</v>
      </c>
      <c r="O413" s="225">
        <f t="shared" si="23"/>
        <v>0</v>
      </c>
      <c r="P413" s="225">
        <f t="shared" si="24"/>
        <v>0</v>
      </c>
      <c r="Q413" s="225">
        <f t="shared" si="25"/>
        <v>0</v>
      </c>
      <c r="R413" s="225">
        <f t="shared" si="26"/>
        <v>0</v>
      </c>
    </row>
    <row r="414" spans="2:18">
      <c r="B414" s="106" t="s">
        <v>273</v>
      </c>
      <c r="H414" s="96"/>
      <c r="I414" s="225">
        <f t="shared" si="18"/>
        <v>0</v>
      </c>
      <c r="J414" s="225">
        <f t="shared" si="19"/>
        <v>0</v>
      </c>
      <c r="K414" s="225">
        <f t="shared" si="20"/>
        <v>0</v>
      </c>
      <c r="L414" s="225">
        <f t="shared" si="21"/>
        <v>0</v>
      </c>
      <c r="M414" s="225">
        <f t="shared" si="22"/>
        <v>0</v>
      </c>
      <c r="O414" s="225">
        <f t="shared" si="23"/>
        <v>0</v>
      </c>
      <c r="P414" s="225">
        <f t="shared" si="24"/>
        <v>0</v>
      </c>
      <c r="Q414" s="225">
        <f t="shared" si="25"/>
        <v>0</v>
      </c>
      <c r="R414" s="225">
        <f t="shared" si="26"/>
        <v>0</v>
      </c>
    </row>
    <row r="415" spans="2:18">
      <c r="B415" s="106" t="s">
        <v>274</v>
      </c>
      <c r="H415" s="96"/>
      <c r="I415" s="225">
        <f t="shared" si="18"/>
        <v>0</v>
      </c>
      <c r="J415" s="225">
        <f t="shared" si="19"/>
        <v>0</v>
      </c>
      <c r="K415" s="225">
        <f t="shared" si="20"/>
        <v>0</v>
      </c>
      <c r="L415" s="225">
        <f t="shared" si="21"/>
        <v>0</v>
      </c>
      <c r="M415" s="225">
        <f t="shared" si="22"/>
        <v>0</v>
      </c>
      <c r="O415" s="225">
        <f t="shared" si="23"/>
        <v>0</v>
      </c>
      <c r="P415" s="225">
        <f t="shared" si="24"/>
        <v>0</v>
      </c>
      <c r="Q415" s="225">
        <f t="shared" si="25"/>
        <v>0</v>
      </c>
      <c r="R415" s="225">
        <f t="shared" si="26"/>
        <v>0</v>
      </c>
    </row>
    <row r="416" spans="2:18">
      <c r="B416" s="106" t="s">
        <v>275</v>
      </c>
      <c r="H416" s="96"/>
      <c r="I416" s="225">
        <f t="shared" si="18"/>
        <v>0</v>
      </c>
      <c r="J416" s="225">
        <f t="shared" si="19"/>
        <v>0</v>
      </c>
      <c r="K416" s="225">
        <f t="shared" si="20"/>
        <v>0</v>
      </c>
      <c r="L416" s="225">
        <f t="shared" si="21"/>
        <v>0</v>
      </c>
      <c r="M416" s="225">
        <f t="shared" si="22"/>
        <v>0</v>
      </c>
      <c r="O416" s="225">
        <f t="shared" si="23"/>
        <v>0</v>
      </c>
      <c r="P416" s="225">
        <f t="shared" si="24"/>
        <v>0</v>
      </c>
      <c r="Q416" s="225">
        <f t="shared" si="25"/>
        <v>0</v>
      </c>
      <c r="R416" s="225">
        <f t="shared" si="26"/>
        <v>0</v>
      </c>
    </row>
    <row r="417" spans="2:18">
      <c r="B417" s="106" t="s">
        <v>276</v>
      </c>
      <c r="H417" s="96"/>
      <c r="I417" s="225">
        <f t="shared" si="18"/>
        <v>0</v>
      </c>
      <c r="J417" s="225">
        <f t="shared" si="19"/>
        <v>0</v>
      </c>
      <c r="K417" s="225">
        <f t="shared" si="20"/>
        <v>0</v>
      </c>
      <c r="L417" s="225">
        <f t="shared" si="21"/>
        <v>0</v>
      </c>
      <c r="M417" s="225">
        <f t="shared" si="22"/>
        <v>0</v>
      </c>
      <c r="O417" s="225">
        <f t="shared" si="23"/>
        <v>0</v>
      </c>
      <c r="P417" s="225">
        <f t="shared" si="24"/>
        <v>0</v>
      </c>
      <c r="Q417" s="225">
        <f t="shared" si="25"/>
        <v>0</v>
      </c>
      <c r="R417" s="225">
        <f t="shared" si="26"/>
        <v>0</v>
      </c>
    </row>
    <row r="418" spans="2:18">
      <c r="B418" s="106" t="s">
        <v>277</v>
      </c>
      <c r="H418" s="96"/>
      <c r="I418" s="225">
        <f t="shared" si="18"/>
        <v>0</v>
      </c>
      <c r="J418" s="225">
        <f t="shared" si="19"/>
        <v>0</v>
      </c>
      <c r="K418" s="225">
        <f t="shared" si="20"/>
        <v>0</v>
      </c>
      <c r="L418" s="225">
        <f t="shared" si="21"/>
        <v>0</v>
      </c>
      <c r="M418" s="225">
        <f t="shared" si="22"/>
        <v>0</v>
      </c>
      <c r="O418" s="225">
        <f t="shared" si="23"/>
        <v>0</v>
      </c>
      <c r="P418" s="225">
        <f t="shared" si="24"/>
        <v>0</v>
      </c>
      <c r="Q418" s="225">
        <f t="shared" si="25"/>
        <v>0</v>
      </c>
      <c r="R418" s="225">
        <f t="shared" si="26"/>
        <v>0</v>
      </c>
    </row>
    <row r="419" spans="2:18">
      <c r="B419" s="213" t="s">
        <v>278</v>
      </c>
      <c r="C419" s="70"/>
      <c r="D419" s="70"/>
      <c r="E419" s="70"/>
      <c r="F419" s="70"/>
      <c r="G419" s="70"/>
      <c r="H419" s="96"/>
      <c r="I419" s="225">
        <f t="shared" si="18"/>
        <v>0</v>
      </c>
      <c r="J419" s="225">
        <f t="shared" si="19"/>
        <v>0</v>
      </c>
      <c r="K419" s="225">
        <f t="shared" si="20"/>
        <v>0</v>
      </c>
      <c r="L419" s="225">
        <f t="shared" si="21"/>
        <v>0</v>
      </c>
      <c r="M419" s="225">
        <f t="shared" si="22"/>
        <v>0</v>
      </c>
      <c r="O419" s="225">
        <f t="shared" si="23"/>
        <v>0</v>
      </c>
      <c r="P419" s="225">
        <f t="shared" si="24"/>
        <v>0</v>
      </c>
      <c r="Q419" s="225">
        <f t="shared" si="25"/>
        <v>0</v>
      </c>
      <c r="R419" s="225">
        <f t="shared" si="26"/>
        <v>0</v>
      </c>
    </row>
    <row r="420" spans="2:18" hidden="1">
      <c r="B420" s="213"/>
      <c r="C420" s="70"/>
      <c r="D420" s="70"/>
      <c r="E420" s="70"/>
      <c r="F420" s="70"/>
      <c r="G420" s="70"/>
      <c r="H420" s="96"/>
      <c r="I420" s="225">
        <f t="shared" si="18"/>
        <v>0</v>
      </c>
      <c r="J420" s="225">
        <f t="shared" si="19"/>
        <v>0</v>
      </c>
      <c r="K420" s="225">
        <f t="shared" si="20"/>
        <v>0</v>
      </c>
      <c r="L420" s="225">
        <f t="shared" si="21"/>
        <v>0</v>
      </c>
      <c r="M420" s="225">
        <f t="shared" si="22"/>
        <v>0</v>
      </c>
      <c r="O420" s="225">
        <f t="shared" si="23"/>
        <v>0</v>
      </c>
      <c r="P420" s="225">
        <f t="shared" si="24"/>
        <v>0</v>
      </c>
      <c r="Q420" s="225">
        <f t="shared" si="25"/>
        <v>0</v>
      </c>
      <c r="R420" s="225">
        <f t="shared" si="26"/>
        <v>0</v>
      </c>
    </row>
    <row r="421" spans="2:18" hidden="1">
      <c r="B421" s="213"/>
      <c r="C421" s="70"/>
      <c r="D421" s="70"/>
      <c r="E421" s="70"/>
      <c r="F421" s="70"/>
      <c r="G421" s="70"/>
      <c r="H421" s="96"/>
      <c r="I421" s="225">
        <f t="shared" si="18"/>
        <v>0</v>
      </c>
      <c r="J421" s="225">
        <f t="shared" si="19"/>
        <v>0</v>
      </c>
      <c r="K421" s="225">
        <f t="shared" si="20"/>
        <v>0</v>
      </c>
      <c r="L421" s="225">
        <f t="shared" si="21"/>
        <v>0</v>
      </c>
      <c r="M421" s="225">
        <f t="shared" si="22"/>
        <v>0</v>
      </c>
      <c r="O421" s="225">
        <f t="shared" si="23"/>
        <v>0</v>
      </c>
      <c r="P421" s="225">
        <f t="shared" si="24"/>
        <v>0</v>
      </c>
      <c r="Q421" s="225">
        <f t="shared" si="25"/>
        <v>0</v>
      </c>
      <c r="R421" s="225">
        <f t="shared" si="26"/>
        <v>0</v>
      </c>
    </row>
    <row r="422" spans="2:18" hidden="1">
      <c r="B422" s="213"/>
      <c r="C422" s="70"/>
      <c r="D422" s="70"/>
      <c r="E422" s="70"/>
      <c r="F422" s="70"/>
      <c r="G422" s="70"/>
      <c r="H422" s="96"/>
      <c r="I422" s="225">
        <f t="shared" si="18"/>
        <v>0</v>
      </c>
      <c r="J422" s="225">
        <f t="shared" si="19"/>
        <v>0</v>
      </c>
      <c r="K422" s="225">
        <f t="shared" si="20"/>
        <v>0</v>
      </c>
      <c r="L422" s="225">
        <f t="shared" si="21"/>
        <v>0</v>
      </c>
      <c r="M422" s="225">
        <f t="shared" si="22"/>
        <v>0</v>
      </c>
      <c r="O422" s="225">
        <f t="shared" si="23"/>
        <v>0</v>
      </c>
      <c r="P422" s="225">
        <f t="shared" si="24"/>
        <v>0</v>
      </c>
      <c r="Q422" s="225">
        <f t="shared" si="25"/>
        <v>0</v>
      </c>
      <c r="R422" s="225">
        <f t="shared" si="26"/>
        <v>0</v>
      </c>
    </row>
    <row r="423" spans="2:18" hidden="1">
      <c r="B423" s="213"/>
      <c r="C423" s="70"/>
      <c r="D423" s="70"/>
      <c r="E423" s="70"/>
      <c r="F423" s="70"/>
      <c r="G423" s="70"/>
      <c r="H423" s="96"/>
      <c r="I423" s="225">
        <f t="shared" si="18"/>
        <v>0</v>
      </c>
      <c r="J423" s="225">
        <f t="shared" si="19"/>
        <v>0</v>
      </c>
      <c r="K423" s="225">
        <f t="shared" si="20"/>
        <v>0</v>
      </c>
      <c r="L423" s="225">
        <f t="shared" si="21"/>
        <v>0</v>
      </c>
      <c r="M423" s="225">
        <f t="shared" si="22"/>
        <v>0</v>
      </c>
      <c r="O423" s="225">
        <f t="shared" si="23"/>
        <v>0</v>
      </c>
      <c r="P423" s="225">
        <f t="shared" si="24"/>
        <v>0</v>
      </c>
      <c r="Q423" s="225">
        <f t="shared" si="25"/>
        <v>0</v>
      </c>
      <c r="R423" s="225">
        <f t="shared" si="26"/>
        <v>0</v>
      </c>
    </row>
    <row r="424" spans="2:18" hidden="1">
      <c r="B424" s="213"/>
      <c r="C424" s="70"/>
      <c r="D424" s="70"/>
      <c r="E424" s="70"/>
      <c r="F424" s="70"/>
      <c r="G424" s="70"/>
      <c r="H424" s="96"/>
      <c r="I424" s="225">
        <f t="shared" si="18"/>
        <v>0</v>
      </c>
      <c r="J424" s="225">
        <f t="shared" si="19"/>
        <v>0</v>
      </c>
      <c r="K424" s="225">
        <f t="shared" si="20"/>
        <v>0</v>
      </c>
      <c r="L424" s="225">
        <f t="shared" si="21"/>
        <v>0</v>
      </c>
      <c r="M424" s="225">
        <f t="shared" si="22"/>
        <v>0</v>
      </c>
      <c r="O424" s="225">
        <f t="shared" si="23"/>
        <v>0</v>
      </c>
      <c r="P424" s="225">
        <f t="shared" si="24"/>
        <v>0</v>
      </c>
      <c r="Q424" s="225">
        <f t="shared" si="25"/>
        <v>0</v>
      </c>
      <c r="R424" s="225">
        <f t="shared" si="26"/>
        <v>0</v>
      </c>
    </row>
    <row r="425" spans="2:18" hidden="1">
      <c r="B425" s="213"/>
      <c r="C425" s="70"/>
      <c r="D425" s="70"/>
      <c r="E425" s="70"/>
      <c r="F425" s="70"/>
      <c r="G425" s="70"/>
      <c r="H425" s="96"/>
      <c r="I425" s="225">
        <f t="shared" ref="I425:I450" si="27">IFERROR(C425/C$250,0)</f>
        <v>0</v>
      </c>
      <c r="J425" s="225">
        <f t="shared" ref="J425:J450" si="28">IFERROR(D425/D$250,0)</f>
        <v>0</v>
      </c>
      <c r="K425" s="225">
        <f t="shared" ref="K425:K450" si="29">IFERROR(E425/E$250,0)</f>
        <v>0</v>
      </c>
      <c r="L425" s="225">
        <f t="shared" ref="L425:L450" si="30">IFERROR(F425/F$250,0)</f>
        <v>0</v>
      </c>
      <c r="M425" s="225">
        <f t="shared" ref="M425:M450" si="31">IFERROR(G425/G$250,0)</f>
        <v>0</v>
      </c>
      <c r="O425" s="225">
        <f t="shared" ref="O425:O450" si="32">IFERROR(D425/C425-1,0)</f>
        <v>0</v>
      </c>
      <c r="P425" s="225">
        <f t="shared" ref="P425:P450" si="33">IFERROR(E425/D425-1,0)</f>
        <v>0</v>
      </c>
      <c r="Q425" s="225">
        <f t="shared" ref="Q425:Q450" si="34">IFERROR(F425/E425-1,0)</f>
        <v>0</v>
      </c>
      <c r="R425" s="225">
        <f t="shared" ref="R425:R450" si="35">IFERROR(G425/F425-1,0)</f>
        <v>0</v>
      </c>
    </row>
    <row r="426" spans="2:18" hidden="1">
      <c r="B426" s="213"/>
      <c r="C426" s="70"/>
      <c r="D426" s="70"/>
      <c r="E426" s="70"/>
      <c r="F426" s="70"/>
      <c r="G426" s="70"/>
      <c r="H426" s="96"/>
      <c r="I426" s="225">
        <f t="shared" si="27"/>
        <v>0</v>
      </c>
      <c r="J426" s="225">
        <f t="shared" si="28"/>
        <v>0</v>
      </c>
      <c r="K426" s="225">
        <f t="shared" si="29"/>
        <v>0</v>
      </c>
      <c r="L426" s="225">
        <f t="shared" si="30"/>
        <v>0</v>
      </c>
      <c r="M426" s="225">
        <f t="shared" si="31"/>
        <v>0</v>
      </c>
      <c r="O426" s="225">
        <f t="shared" si="32"/>
        <v>0</v>
      </c>
      <c r="P426" s="225">
        <f t="shared" si="33"/>
        <v>0</v>
      </c>
      <c r="Q426" s="225">
        <f t="shared" si="34"/>
        <v>0</v>
      </c>
      <c r="R426" s="225">
        <f t="shared" si="35"/>
        <v>0</v>
      </c>
    </row>
    <row r="427" spans="2:18" hidden="1">
      <c r="B427" s="213"/>
      <c r="C427" s="70"/>
      <c r="D427" s="70"/>
      <c r="E427" s="70"/>
      <c r="F427" s="70"/>
      <c r="G427" s="70"/>
      <c r="H427" s="96"/>
      <c r="I427" s="225">
        <f t="shared" si="27"/>
        <v>0</v>
      </c>
      <c r="J427" s="225">
        <f t="shared" si="28"/>
        <v>0</v>
      </c>
      <c r="K427" s="225">
        <f t="shared" si="29"/>
        <v>0</v>
      </c>
      <c r="L427" s="225">
        <f t="shared" si="30"/>
        <v>0</v>
      </c>
      <c r="M427" s="225">
        <f t="shared" si="31"/>
        <v>0</v>
      </c>
      <c r="O427" s="225">
        <f t="shared" si="32"/>
        <v>0</v>
      </c>
      <c r="P427" s="225">
        <f t="shared" si="33"/>
        <v>0</v>
      </c>
      <c r="Q427" s="225">
        <f t="shared" si="34"/>
        <v>0</v>
      </c>
      <c r="R427" s="225">
        <f t="shared" si="35"/>
        <v>0</v>
      </c>
    </row>
    <row r="428" spans="2:18" hidden="1">
      <c r="B428" s="213"/>
      <c r="C428" s="70"/>
      <c r="D428" s="70"/>
      <c r="E428" s="70"/>
      <c r="F428" s="70"/>
      <c r="G428" s="70"/>
      <c r="H428" s="96"/>
      <c r="I428" s="225">
        <f t="shared" si="27"/>
        <v>0</v>
      </c>
      <c r="J428" s="225">
        <f t="shared" si="28"/>
        <v>0</v>
      </c>
      <c r="K428" s="225">
        <f t="shared" si="29"/>
        <v>0</v>
      </c>
      <c r="L428" s="225">
        <f t="shared" si="30"/>
        <v>0</v>
      </c>
      <c r="M428" s="225">
        <f t="shared" si="31"/>
        <v>0</v>
      </c>
      <c r="O428" s="225">
        <f t="shared" si="32"/>
        <v>0</v>
      </c>
      <c r="P428" s="225">
        <f t="shared" si="33"/>
        <v>0</v>
      </c>
      <c r="Q428" s="225">
        <f t="shared" si="34"/>
        <v>0</v>
      </c>
      <c r="R428" s="225">
        <f t="shared" si="35"/>
        <v>0</v>
      </c>
    </row>
    <row r="429" spans="2:18" hidden="1">
      <c r="B429" s="213"/>
      <c r="C429" s="70"/>
      <c r="D429" s="70"/>
      <c r="E429" s="70"/>
      <c r="F429" s="70"/>
      <c r="G429" s="70"/>
      <c r="H429" s="96"/>
      <c r="I429" s="225">
        <f t="shared" si="27"/>
        <v>0</v>
      </c>
      <c r="J429" s="225">
        <f t="shared" si="28"/>
        <v>0</v>
      </c>
      <c r="K429" s="225">
        <f t="shared" si="29"/>
        <v>0</v>
      </c>
      <c r="L429" s="225">
        <f t="shared" si="30"/>
        <v>0</v>
      </c>
      <c r="M429" s="225">
        <f t="shared" si="31"/>
        <v>0</v>
      </c>
      <c r="O429" s="225">
        <f t="shared" si="32"/>
        <v>0</v>
      </c>
      <c r="P429" s="225">
        <f t="shared" si="33"/>
        <v>0</v>
      </c>
      <c r="Q429" s="225">
        <f t="shared" si="34"/>
        <v>0</v>
      </c>
      <c r="R429" s="225">
        <f t="shared" si="35"/>
        <v>0</v>
      </c>
    </row>
    <row r="430" spans="2:18" hidden="1">
      <c r="B430" s="213"/>
      <c r="C430" s="70"/>
      <c r="D430" s="70"/>
      <c r="E430" s="70"/>
      <c r="F430" s="70"/>
      <c r="G430" s="70"/>
      <c r="H430" s="96"/>
      <c r="I430" s="225">
        <f t="shared" si="27"/>
        <v>0</v>
      </c>
      <c r="J430" s="225">
        <f t="shared" si="28"/>
        <v>0</v>
      </c>
      <c r="K430" s="225">
        <f t="shared" si="29"/>
        <v>0</v>
      </c>
      <c r="L430" s="225">
        <f t="shared" si="30"/>
        <v>0</v>
      </c>
      <c r="M430" s="225">
        <f t="shared" si="31"/>
        <v>0</v>
      </c>
      <c r="O430" s="225">
        <f t="shared" si="32"/>
        <v>0</v>
      </c>
      <c r="P430" s="225">
        <f t="shared" si="33"/>
        <v>0</v>
      </c>
      <c r="Q430" s="225">
        <f t="shared" si="34"/>
        <v>0</v>
      </c>
      <c r="R430" s="225">
        <f t="shared" si="35"/>
        <v>0</v>
      </c>
    </row>
    <row r="431" spans="2:18" hidden="1">
      <c r="B431" s="213"/>
      <c r="C431" s="70"/>
      <c r="D431" s="70"/>
      <c r="E431" s="70"/>
      <c r="F431" s="70"/>
      <c r="G431" s="70"/>
      <c r="H431" s="96"/>
      <c r="I431" s="225">
        <f t="shared" si="27"/>
        <v>0</v>
      </c>
      <c r="J431" s="225">
        <f t="shared" si="28"/>
        <v>0</v>
      </c>
      <c r="K431" s="225">
        <f t="shared" si="29"/>
        <v>0</v>
      </c>
      <c r="L431" s="225">
        <f t="shared" si="30"/>
        <v>0</v>
      </c>
      <c r="M431" s="225">
        <f t="shared" si="31"/>
        <v>0</v>
      </c>
      <c r="O431" s="225">
        <f t="shared" si="32"/>
        <v>0</v>
      </c>
      <c r="P431" s="225">
        <f t="shared" si="33"/>
        <v>0</v>
      </c>
      <c r="Q431" s="225">
        <f t="shared" si="34"/>
        <v>0</v>
      </c>
      <c r="R431" s="225">
        <f t="shared" si="35"/>
        <v>0</v>
      </c>
    </row>
    <row r="432" spans="2:18" hidden="1">
      <c r="B432" s="213"/>
      <c r="C432" s="70"/>
      <c r="D432" s="70"/>
      <c r="E432" s="70"/>
      <c r="F432" s="70"/>
      <c r="G432" s="70"/>
      <c r="H432" s="96"/>
      <c r="I432" s="225">
        <f t="shared" si="27"/>
        <v>0</v>
      </c>
      <c r="J432" s="225">
        <f t="shared" si="28"/>
        <v>0</v>
      </c>
      <c r="K432" s="225">
        <f t="shared" si="29"/>
        <v>0</v>
      </c>
      <c r="L432" s="225">
        <f t="shared" si="30"/>
        <v>0</v>
      </c>
      <c r="M432" s="225">
        <f t="shared" si="31"/>
        <v>0</v>
      </c>
      <c r="O432" s="225">
        <f t="shared" si="32"/>
        <v>0</v>
      </c>
      <c r="P432" s="225">
        <f t="shared" si="33"/>
        <v>0</v>
      </c>
      <c r="Q432" s="225">
        <f t="shared" si="34"/>
        <v>0</v>
      </c>
      <c r="R432" s="225">
        <f t="shared" si="35"/>
        <v>0</v>
      </c>
    </row>
    <row r="433" spans="2:18" hidden="1">
      <c r="B433" s="213"/>
      <c r="C433" s="70"/>
      <c r="D433" s="70"/>
      <c r="E433" s="70"/>
      <c r="F433" s="70"/>
      <c r="G433" s="70"/>
      <c r="H433" s="96"/>
      <c r="I433" s="225">
        <f t="shared" si="27"/>
        <v>0</v>
      </c>
      <c r="J433" s="225">
        <f t="shared" si="28"/>
        <v>0</v>
      </c>
      <c r="K433" s="225">
        <f t="shared" si="29"/>
        <v>0</v>
      </c>
      <c r="L433" s="225">
        <f t="shared" si="30"/>
        <v>0</v>
      </c>
      <c r="M433" s="225">
        <f t="shared" si="31"/>
        <v>0</v>
      </c>
      <c r="O433" s="225">
        <f t="shared" si="32"/>
        <v>0</v>
      </c>
      <c r="P433" s="225">
        <f t="shared" si="33"/>
        <v>0</v>
      </c>
      <c r="Q433" s="225">
        <f t="shared" si="34"/>
        <v>0</v>
      </c>
      <c r="R433" s="225">
        <f t="shared" si="35"/>
        <v>0</v>
      </c>
    </row>
    <row r="434" spans="2:18" hidden="1">
      <c r="B434" s="213"/>
      <c r="C434" s="70"/>
      <c r="D434" s="70"/>
      <c r="E434" s="70"/>
      <c r="F434" s="70"/>
      <c r="G434" s="70"/>
      <c r="H434" s="96"/>
      <c r="I434" s="225">
        <f t="shared" si="27"/>
        <v>0</v>
      </c>
      <c r="J434" s="225">
        <f t="shared" si="28"/>
        <v>0</v>
      </c>
      <c r="K434" s="225">
        <f t="shared" si="29"/>
        <v>0</v>
      </c>
      <c r="L434" s="225">
        <f t="shared" si="30"/>
        <v>0</v>
      </c>
      <c r="M434" s="225">
        <f t="shared" si="31"/>
        <v>0</v>
      </c>
      <c r="O434" s="225">
        <f t="shared" si="32"/>
        <v>0</v>
      </c>
      <c r="P434" s="225">
        <f t="shared" si="33"/>
        <v>0</v>
      </c>
      <c r="Q434" s="225">
        <f t="shared" si="34"/>
        <v>0</v>
      </c>
      <c r="R434" s="225">
        <f t="shared" si="35"/>
        <v>0</v>
      </c>
    </row>
    <row r="435" spans="2:18" hidden="1">
      <c r="B435" s="213"/>
      <c r="C435" s="70"/>
      <c r="D435" s="70"/>
      <c r="E435" s="70"/>
      <c r="F435" s="70"/>
      <c r="G435" s="70"/>
      <c r="H435" s="96"/>
      <c r="I435" s="225">
        <f t="shared" si="27"/>
        <v>0</v>
      </c>
      <c r="J435" s="225">
        <f t="shared" si="28"/>
        <v>0</v>
      </c>
      <c r="K435" s="225">
        <f t="shared" si="29"/>
        <v>0</v>
      </c>
      <c r="L435" s="225">
        <f t="shared" si="30"/>
        <v>0</v>
      </c>
      <c r="M435" s="225">
        <f t="shared" si="31"/>
        <v>0</v>
      </c>
      <c r="O435" s="225">
        <f t="shared" si="32"/>
        <v>0</v>
      </c>
      <c r="P435" s="225">
        <f t="shared" si="33"/>
        <v>0</v>
      </c>
      <c r="Q435" s="225">
        <f t="shared" si="34"/>
        <v>0</v>
      </c>
      <c r="R435" s="225">
        <f t="shared" si="35"/>
        <v>0</v>
      </c>
    </row>
    <row r="436" spans="2:18" hidden="1">
      <c r="B436" s="213"/>
      <c r="C436" s="70"/>
      <c r="D436" s="70"/>
      <c r="E436" s="70"/>
      <c r="F436" s="70"/>
      <c r="G436" s="70"/>
      <c r="H436" s="96"/>
      <c r="I436" s="225">
        <f t="shared" si="27"/>
        <v>0</v>
      </c>
      <c r="J436" s="225">
        <f t="shared" si="28"/>
        <v>0</v>
      </c>
      <c r="K436" s="225">
        <f t="shared" si="29"/>
        <v>0</v>
      </c>
      <c r="L436" s="225">
        <f t="shared" si="30"/>
        <v>0</v>
      </c>
      <c r="M436" s="225">
        <f t="shared" si="31"/>
        <v>0</v>
      </c>
      <c r="O436" s="225">
        <f t="shared" si="32"/>
        <v>0</v>
      </c>
      <c r="P436" s="225">
        <f t="shared" si="33"/>
        <v>0</v>
      </c>
      <c r="Q436" s="225">
        <f t="shared" si="34"/>
        <v>0</v>
      </c>
      <c r="R436" s="225">
        <f t="shared" si="35"/>
        <v>0</v>
      </c>
    </row>
    <row r="437" spans="2:18" hidden="1">
      <c r="B437" s="213"/>
      <c r="C437" s="70"/>
      <c r="D437" s="70"/>
      <c r="E437" s="70"/>
      <c r="F437" s="70"/>
      <c r="G437" s="70"/>
      <c r="H437" s="96"/>
      <c r="I437" s="225">
        <f t="shared" si="27"/>
        <v>0</v>
      </c>
      <c r="J437" s="225">
        <f t="shared" si="28"/>
        <v>0</v>
      </c>
      <c r="K437" s="225">
        <f t="shared" si="29"/>
        <v>0</v>
      </c>
      <c r="L437" s="225">
        <f t="shared" si="30"/>
        <v>0</v>
      </c>
      <c r="M437" s="225">
        <f t="shared" si="31"/>
        <v>0</v>
      </c>
      <c r="O437" s="225">
        <f t="shared" si="32"/>
        <v>0</v>
      </c>
      <c r="P437" s="225">
        <f t="shared" si="33"/>
        <v>0</v>
      </c>
      <c r="Q437" s="225">
        <f t="shared" si="34"/>
        <v>0</v>
      </c>
      <c r="R437" s="225">
        <f t="shared" si="35"/>
        <v>0</v>
      </c>
    </row>
    <row r="438" spans="2:18" hidden="1">
      <c r="B438" s="213"/>
      <c r="C438" s="70"/>
      <c r="D438" s="70"/>
      <c r="E438" s="70"/>
      <c r="F438" s="70"/>
      <c r="G438" s="70"/>
      <c r="H438" s="96"/>
      <c r="I438" s="225">
        <f t="shared" si="27"/>
        <v>0</v>
      </c>
      <c r="J438" s="225">
        <f t="shared" si="28"/>
        <v>0</v>
      </c>
      <c r="K438" s="225">
        <f t="shared" si="29"/>
        <v>0</v>
      </c>
      <c r="L438" s="225">
        <f t="shared" si="30"/>
        <v>0</v>
      </c>
      <c r="M438" s="225">
        <f t="shared" si="31"/>
        <v>0</v>
      </c>
      <c r="O438" s="225">
        <f t="shared" si="32"/>
        <v>0</v>
      </c>
      <c r="P438" s="225">
        <f t="shared" si="33"/>
        <v>0</v>
      </c>
      <c r="Q438" s="225">
        <f t="shared" si="34"/>
        <v>0</v>
      </c>
      <c r="R438" s="225">
        <f t="shared" si="35"/>
        <v>0</v>
      </c>
    </row>
    <row r="439" spans="2:18" hidden="1">
      <c r="B439" s="213"/>
      <c r="C439" s="70"/>
      <c r="D439" s="70"/>
      <c r="E439" s="70"/>
      <c r="F439" s="70"/>
      <c r="G439" s="70"/>
      <c r="H439" s="96"/>
      <c r="I439" s="225">
        <f t="shared" si="27"/>
        <v>0</v>
      </c>
      <c r="J439" s="225">
        <f t="shared" si="28"/>
        <v>0</v>
      </c>
      <c r="K439" s="225">
        <f t="shared" si="29"/>
        <v>0</v>
      </c>
      <c r="L439" s="225">
        <f t="shared" si="30"/>
        <v>0</v>
      </c>
      <c r="M439" s="225">
        <f t="shared" si="31"/>
        <v>0</v>
      </c>
      <c r="O439" s="225">
        <f t="shared" si="32"/>
        <v>0</v>
      </c>
      <c r="P439" s="225">
        <f t="shared" si="33"/>
        <v>0</v>
      </c>
      <c r="Q439" s="225">
        <f t="shared" si="34"/>
        <v>0</v>
      </c>
      <c r="R439" s="225">
        <f t="shared" si="35"/>
        <v>0</v>
      </c>
    </row>
    <row r="440" spans="2:18" hidden="1">
      <c r="B440" s="213"/>
      <c r="C440" s="70"/>
      <c r="D440" s="70"/>
      <c r="E440" s="70"/>
      <c r="F440" s="70"/>
      <c r="G440" s="70"/>
      <c r="H440" s="96"/>
      <c r="I440" s="225">
        <f t="shared" si="27"/>
        <v>0</v>
      </c>
      <c r="J440" s="225">
        <f t="shared" si="28"/>
        <v>0</v>
      </c>
      <c r="K440" s="225">
        <f t="shared" si="29"/>
        <v>0</v>
      </c>
      <c r="L440" s="225">
        <f t="shared" si="30"/>
        <v>0</v>
      </c>
      <c r="M440" s="225">
        <f t="shared" si="31"/>
        <v>0</v>
      </c>
      <c r="O440" s="225">
        <f t="shared" si="32"/>
        <v>0</v>
      </c>
      <c r="P440" s="225">
        <f t="shared" si="33"/>
        <v>0</v>
      </c>
      <c r="Q440" s="225">
        <f t="shared" si="34"/>
        <v>0</v>
      </c>
      <c r="R440" s="225">
        <f t="shared" si="35"/>
        <v>0</v>
      </c>
    </row>
    <row r="441" spans="2:18" hidden="1">
      <c r="B441" s="213"/>
      <c r="C441" s="70"/>
      <c r="D441" s="70"/>
      <c r="E441" s="70"/>
      <c r="F441" s="70"/>
      <c r="G441" s="70"/>
      <c r="H441" s="96"/>
      <c r="I441" s="225">
        <f t="shared" si="27"/>
        <v>0</v>
      </c>
      <c r="J441" s="225">
        <f t="shared" si="28"/>
        <v>0</v>
      </c>
      <c r="K441" s="225">
        <f t="shared" si="29"/>
        <v>0</v>
      </c>
      <c r="L441" s="225">
        <f t="shared" si="30"/>
        <v>0</v>
      </c>
      <c r="M441" s="225">
        <f t="shared" si="31"/>
        <v>0</v>
      </c>
      <c r="O441" s="225">
        <f t="shared" si="32"/>
        <v>0</v>
      </c>
      <c r="P441" s="225">
        <f t="shared" si="33"/>
        <v>0</v>
      </c>
      <c r="Q441" s="225">
        <f t="shared" si="34"/>
        <v>0</v>
      </c>
      <c r="R441" s="225">
        <f t="shared" si="35"/>
        <v>0</v>
      </c>
    </row>
    <row r="442" spans="2:18" hidden="1">
      <c r="B442" s="213"/>
      <c r="C442" s="70"/>
      <c r="D442" s="70"/>
      <c r="E442" s="70"/>
      <c r="F442" s="70"/>
      <c r="G442" s="70"/>
      <c r="H442" s="96"/>
      <c r="I442" s="225">
        <f t="shared" si="27"/>
        <v>0</v>
      </c>
      <c r="J442" s="225">
        <f t="shared" si="28"/>
        <v>0</v>
      </c>
      <c r="K442" s="225">
        <f t="shared" si="29"/>
        <v>0</v>
      </c>
      <c r="L442" s="225">
        <f t="shared" si="30"/>
        <v>0</v>
      </c>
      <c r="M442" s="225">
        <f t="shared" si="31"/>
        <v>0</v>
      </c>
      <c r="O442" s="225">
        <f t="shared" si="32"/>
        <v>0</v>
      </c>
      <c r="P442" s="225">
        <f t="shared" si="33"/>
        <v>0</v>
      </c>
      <c r="Q442" s="225">
        <f t="shared" si="34"/>
        <v>0</v>
      </c>
      <c r="R442" s="225">
        <f t="shared" si="35"/>
        <v>0</v>
      </c>
    </row>
    <row r="443" spans="2:18" hidden="1">
      <c r="B443" s="213"/>
      <c r="C443" s="70"/>
      <c r="D443" s="70"/>
      <c r="E443" s="70"/>
      <c r="F443" s="70"/>
      <c r="G443" s="70"/>
      <c r="H443" s="96"/>
      <c r="I443" s="225">
        <f t="shared" si="27"/>
        <v>0</v>
      </c>
      <c r="J443" s="225">
        <f t="shared" si="28"/>
        <v>0</v>
      </c>
      <c r="K443" s="225">
        <f t="shared" si="29"/>
        <v>0</v>
      </c>
      <c r="L443" s="225">
        <f t="shared" si="30"/>
        <v>0</v>
      </c>
      <c r="M443" s="225">
        <f t="shared" si="31"/>
        <v>0</v>
      </c>
      <c r="O443" s="225">
        <f t="shared" si="32"/>
        <v>0</v>
      </c>
      <c r="P443" s="225">
        <f t="shared" si="33"/>
        <v>0</v>
      </c>
      <c r="Q443" s="225">
        <f t="shared" si="34"/>
        <v>0</v>
      </c>
      <c r="R443" s="225">
        <f t="shared" si="35"/>
        <v>0</v>
      </c>
    </row>
    <row r="444" spans="2:18" hidden="1">
      <c r="B444" s="213"/>
      <c r="C444" s="70"/>
      <c r="D444" s="70"/>
      <c r="E444" s="70"/>
      <c r="F444" s="70"/>
      <c r="G444" s="70"/>
      <c r="H444" s="96"/>
      <c r="I444" s="225">
        <f t="shared" si="27"/>
        <v>0</v>
      </c>
      <c r="J444" s="225">
        <f t="shared" si="28"/>
        <v>0</v>
      </c>
      <c r="K444" s="225">
        <f t="shared" si="29"/>
        <v>0</v>
      </c>
      <c r="L444" s="225">
        <f t="shared" si="30"/>
        <v>0</v>
      </c>
      <c r="M444" s="225">
        <f t="shared" si="31"/>
        <v>0</v>
      </c>
      <c r="O444" s="225">
        <f t="shared" si="32"/>
        <v>0</v>
      </c>
      <c r="P444" s="225">
        <f t="shared" si="33"/>
        <v>0</v>
      </c>
      <c r="Q444" s="225">
        <f t="shared" si="34"/>
        <v>0</v>
      </c>
      <c r="R444" s="225">
        <f t="shared" si="35"/>
        <v>0</v>
      </c>
    </row>
    <row r="445" spans="2:18" hidden="1">
      <c r="B445" s="213"/>
      <c r="C445" s="70"/>
      <c r="D445" s="70"/>
      <c r="E445" s="70"/>
      <c r="F445" s="70"/>
      <c r="G445" s="70"/>
      <c r="H445" s="96"/>
      <c r="I445" s="225">
        <f t="shared" si="27"/>
        <v>0</v>
      </c>
      <c r="J445" s="225">
        <f t="shared" si="28"/>
        <v>0</v>
      </c>
      <c r="K445" s="225">
        <f t="shared" si="29"/>
        <v>0</v>
      </c>
      <c r="L445" s="225">
        <f t="shared" si="30"/>
        <v>0</v>
      </c>
      <c r="M445" s="225">
        <f t="shared" si="31"/>
        <v>0</v>
      </c>
      <c r="O445" s="225">
        <f t="shared" si="32"/>
        <v>0</v>
      </c>
      <c r="P445" s="225">
        <f t="shared" si="33"/>
        <v>0</v>
      </c>
      <c r="Q445" s="225">
        <f t="shared" si="34"/>
        <v>0</v>
      </c>
      <c r="R445" s="225">
        <f t="shared" si="35"/>
        <v>0</v>
      </c>
    </row>
    <row r="446" spans="2:18" hidden="1">
      <c r="B446" s="213"/>
      <c r="C446" s="70"/>
      <c r="D446" s="70"/>
      <c r="E446" s="70"/>
      <c r="F446" s="70"/>
      <c r="G446" s="70"/>
      <c r="H446" s="96"/>
      <c r="I446" s="225">
        <f t="shared" si="27"/>
        <v>0</v>
      </c>
      <c r="J446" s="225">
        <f t="shared" si="28"/>
        <v>0</v>
      </c>
      <c r="K446" s="225">
        <f t="shared" si="29"/>
        <v>0</v>
      </c>
      <c r="L446" s="225">
        <f t="shared" si="30"/>
        <v>0</v>
      </c>
      <c r="M446" s="225">
        <f t="shared" si="31"/>
        <v>0</v>
      </c>
      <c r="O446" s="225">
        <f t="shared" si="32"/>
        <v>0</v>
      </c>
      <c r="P446" s="225">
        <f t="shared" si="33"/>
        <v>0</v>
      </c>
      <c r="Q446" s="225">
        <f t="shared" si="34"/>
        <v>0</v>
      </c>
      <c r="R446" s="225">
        <f t="shared" si="35"/>
        <v>0</v>
      </c>
    </row>
    <row r="447" spans="2:18" hidden="1">
      <c r="B447" s="213"/>
      <c r="C447" s="70"/>
      <c r="D447" s="70"/>
      <c r="E447" s="70"/>
      <c r="F447" s="70"/>
      <c r="G447" s="70"/>
      <c r="H447" s="96"/>
      <c r="I447" s="225">
        <f t="shared" si="27"/>
        <v>0</v>
      </c>
      <c r="J447" s="225">
        <f t="shared" si="28"/>
        <v>0</v>
      </c>
      <c r="K447" s="225">
        <f t="shared" si="29"/>
        <v>0</v>
      </c>
      <c r="L447" s="225">
        <f t="shared" si="30"/>
        <v>0</v>
      </c>
      <c r="M447" s="225">
        <f t="shared" si="31"/>
        <v>0</v>
      </c>
      <c r="O447" s="225">
        <f t="shared" si="32"/>
        <v>0</v>
      </c>
      <c r="P447" s="225">
        <f t="shared" si="33"/>
        <v>0</v>
      </c>
      <c r="Q447" s="225">
        <f t="shared" si="34"/>
        <v>0</v>
      </c>
      <c r="R447" s="225">
        <f t="shared" si="35"/>
        <v>0</v>
      </c>
    </row>
    <row r="448" spans="2:18" hidden="1">
      <c r="B448" s="213"/>
      <c r="C448" s="70"/>
      <c r="D448" s="70"/>
      <c r="E448" s="70"/>
      <c r="F448" s="70"/>
      <c r="G448" s="70"/>
      <c r="H448" s="96"/>
      <c r="I448" s="225">
        <f t="shared" si="27"/>
        <v>0</v>
      </c>
      <c r="J448" s="225">
        <f t="shared" si="28"/>
        <v>0</v>
      </c>
      <c r="K448" s="225">
        <f t="shared" si="29"/>
        <v>0</v>
      </c>
      <c r="L448" s="225">
        <f t="shared" si="30"/>
        <v>0</v>
      </c>
      <c r="M448" s="225">
        <f t="shared" si="31"/>
        <v>0</v>
      </c>
      <c r="O448" s="225">
        <f t="shared" si="32"/>
        <v>0</v>
      </c>
      <c r="P448" s="225">
        <f t="shared" si="33"/>
        <v>0</v>
      </c>
      <c r="Q448" s="225">
        <f t="shared" si="34"/>
        <v>0</v>
      </c>
      <c r="R448" s="225">
        <f t="shared" si="35"/>
        <v>0</v>
      </c>
    </row>
    <row r="449" spans="1:18" hidden="1">
      <c r="B449" s="213"/>
      <c r="C449" s="70"/>
      <c r="D449" s="70"/>
      <c r="E449" s="70"/>
      <c r="F449" s="70"/>
      <c r="G449" s="70"/>
      <c r="H449" s="96"/>
      <c r="I449" s="225">
        <f t="shared" si="27"/>
        <v>0</v>
      </c>
      <c r="J449" s="225">
        <f t="shared" si="28"/>
        <v>0</v>
      </c>
      <c r="K449" s="225">
        <f t="shared" si="29"/>
        <v>0</v>
      </c>
      <c r="L449" s="225">
        <f t="shared" si="30"/>
        <v>0</v>
      </c>
      <c r="M449" s="225">
        <f t="shared" si="31"/>
        <v>0</v>
      </c>
      <c r="O449" s="225">
        <f t="shared" si="32"/>
        <v>0</v>
      </c>
      <c r="P449" s="225">
        <f t="shared" si="33"/>
        <v>0</v>
      </c>
      <c r="Q449" s="225">
        <f t="shared" si="34"/>
        <v>0</v>
      </c>
      <c r="R449" s="225">
        <f t="shared" si="35"/>
        <v>0</v>
      </c>
    </row>
    <row r="450" spans="1:18">
      <c r="B450" s="106" t="s">
        <v>279</v>
      </c>
      <c r="H450" s="96"/>
      <c r="I450" s="225">
        <f t="shared" si="27"/>
        <v>0</v>
      </c>
      <c r="J450" s="225">
        <f t="shared" si="28"/>
        <v>0</v>
      </c>
      <c r="K450" s="225">
        <f t="shared" si="29"/>
        <v>0</v>
      </c>
      <c r="L450" s="225">
        <f t="shared" si="30"/>
        <v>0</v>
      </c>
      <c r="M450" s="225">
        <f t="shared" si="31"/>
        <v>0</v>
      </c>
      <c r="O450" s="225">
        <f t="shared" si="32"/>
        <v>0</v>
      </c>
      <c r="P450" s="225">
        <f t="shared" si="33"/>
        <v>0</v>
      </c>
      <c r="Q450" s="225">
        <f t="shared" si="34"/>
        <v>0</v>
      </c>
      <c r="R450" s="225">
        <f t="shared" si="35"/>
        <v>0</v>
      </c>
    </row>
    <row r="451" spans="1:18">
      <c r="B451" s="106"/>
      <c r="H451" s="96"/>
    </row>
    <row r="452" spans="1:18" s="216" customFormat="1">
      <c r="A452" s="217"/>
      <c r="B452" s="223" t="s">
        <v>280</v>
      </c>
      <c r="C452" s="222">
        <f>SUM(C453:C484)</f>
        <v>0</v>
      </c>
      <c r="D452" s="222">
        <f>SUM(D453:D484)</f>
        <v>0</v>
      </c>
      <c r="E452" s="222">
        <f>SUM(E453:E484)</f>
        <v>0</v>
      </c>
      <c r="F452" s="222">
        <f>SUM(F453:F484)</f>
        <v>0</v>
      </c>
      <c r="G452" s="222">
        <f>SUM(G453:G484)</f>
        <v>0</v>
      </c>
      <c r="H452" s="224"/>
      <c r="I452" s="230">
        <f t="shared" ref="I452:I485" si="36">IFERROR(C452/C$250,0)</f>
        <v>0</v>
      </c>
      <c r="J452" s="230">
        <f t="shared" ref="J452:J485" si="37">IFERROR(D452/D$250,0)</f>
        <v>0</v>
      </c>
      <c r="K452" s="230">
        <f t="shared" ref="K452:K485" si="38">IFERROR(E452/E$250,0)</f>
        <v>0</v>
      </c>
      <c r="L452" s="230">
        <f t="shared" ref="L452:L485" si="39">IFERROR(F452/F$250,0)</f>
        <v>0</v>
      </c>
      <c r="M452" s="230">
        <f t="shared" ref="M452:M485" si="40">IFERROR(G452/G$250,0)</f>
        <v>0</v>
      </c>
      <c r="N452" s="230"/>
      <c r="O452" s="230">
        <f t="shared" ref="O452:O485" si="41">IFERROR(D452/C452-1,0)</f>
        <v>0</v>
      </c>
      <c r="P452" s="230">
        <f t="shared" ref="P452:P485" si="42">IFERROR(E452/D452-1,0)</f>
        <v>0</v>
      </c>
      <c r="Q452" s="230">
        <f t="shared" ref="Q452:Q485" si="43">IFERROR(F452/E452-1,0)</f>
        <v>0</v>
      </c>
      <c r="R452" s="230">
        <f t="shared" ref="R452:R485" si="44">IFERROR(G452/F452-1,0)</f>
        <v>0</v>
      </c>
    </row>
    <row r="453" spans="1:18">
      <c r="B453" s="106" t="s">
        <v>281</v>
      </c>
      <c r="H453" s="96"/>
      <c r="I453" s="225">
        <f t="shared" si="36"/>
        <v>0</v>
      </c>
      <c r="J453" s="225">
        <f t="shared" si="37"/>
        <v>0</v>
      </c>
      <c r="K453" s="225">
        <f t="shared" si="38"/>
        <v>0</v>
      </c>
      <c r="L453" s="225">
        <f t="shared" si="39"/>
        <v>0</v>
      </c>
      <c r="M453" s="225">
        <f t="shared" si="40"/>
        <v>0</v>
      </c>
      <c r="O453" s="225">
        <f t="shared" si="41"/>
        <v>0</v>
      </c>
      <c r="P453" s="225">
        <f t="shared" si="42"/>
        <v>0</v>
      </c>
      <c r="Q453" s="225">
        <f t="shared" si="43"/>
        <v>0</v>
      </c>
      <c r="R453" s="225">
        <f t="shared" si="44"/>
        <v>0</v>
      </c>
    </row>
    <row r="454" spans="1:18">
      <c r="B454" s="118" t="s">
        <v>246</v>
      </c>
      <c r="C454" s="78"/>
      <c r="D454" s="78"/>
      <c r="E454" s="78"/>
      <c r="F454" s="78"/>
      <c r="G454" s="78"/>
      <c r="I454" s="225">
        <f t="shared" si="36"/>
        <v>0</v>
      </c>
      <c r="J454" s="225">
        <f t="shared" si="37"/>
        <v>0</v>
      </c>
      <c r="K454" s="225">
        <f t="shared" si="38"/>
        <v>0</v>
      </c>
      <c r="L454" s="225">
        <f t="shared" si="39"/>
        <v>0</v>
      </c>
      <c r="M454" s="225">
        <f t="shared" si="40"/>
        <v>0</v>
      </c>
      <c r="O454" s="225">
        <f t="shared" si="41"/>
        <v>0</v>
      </c>
      <c r="P454" s="225">
        <f t="shared" si="42"/>
        <v>0</v>
      </c>
      <c r="Q454" s="225">
        <f t="shared" si="43"/>
        <v>0</v>
      </c>
      <c r="R454" s="225">
        <f t="shared" si="44"/>
        <v>0</v>
      </c>
    </row>
    <row r="455" spans="1:18">
      <c r="B455" s="106" t="s">
        <v>282</v>
      </c>
      <c r="H455" s="96"/>
      <c r="I455" s="225">
        <f t="shared" si="36"/>
        <v>0</v>
      </c>
      <c r="J455" s="225">
        <f t="shared" si="37"/>
        <v>0</v>
      </c>
      <c r="K455" s="225">
        <f t="shared" si="38"/>
        <v>0</v>
      </c>
      <c r="L455" s="225">
        <f t="shared" si="39"/>
        <v>0</v>
      </c>
      <c r="M455" s="225">
        <f t="shared" si="40"/>
        <v>0</v>
      </c>
      <c r="O455" s="225">
        <f t="shared" si="41"/>
        <v>0</v>
      </c>
      <c r="P455" s="225">
        <f t="shared" si="42"/>
        <v>0</v>
      </c>
      <c r="Q455" s="225">
        <f t="shared" si="43"/>
        <v>0</v>
      </c>
      <c r="R455" s="225">
        <f t="shared" si="44"/>
        <v>0</v>
      </c>
    </row>
    <row r="456" spans="1:18">
      <c r="B456" s="106" t="s">
        <v>283</v>
      </c>
      <c r="H456" s="96"/>
      <c r="I456" s="225">
        <f t="shared" si="36"/>
        <v>0</v>
      </c>
      <c r="J456" s="225">
        <f t="shared" si="37"/>
        <v>0</v>
      </c>
      <c r="K456" s="225">
        <f t="shared" si="38"/>
        <v>0</v>
      </c>
      <c r="L456" s="225">
        <f t="shared" si="39"/>
        <v>0</v>
      </c>
      <c r="M456" s="225">
        <f t="shared" si="40"/>
        <v>0</v>
      </c>
      <c r="O456" s="225">
        <f t="shared" si="41"/>
        <v>0</v>
      </c>
      <c r="P456" s="225">
        <f t="shared" si="42"/>
        <v>0</v>
      </c>
      <c r="Q456" s="225">
        <f t="shared" si="43"/>
        <v>0</v>
      </c>
      <c r="R456" s="225">
        <f t="shared" si="44"/>
        <v>0</v>
      </c>
    </row>
    <row r="457" spans="1:18">
      <c r="B457" s="106" t="s">
        <v>284</v>
      </c>
      <c r="H457" s="96"/>
      <c r="I457" s="225">
        <f t="shared" si="36"/>
        <v>0</v>
      </c>
      <c r="J457" s="225">
        <f t="shared" si="37"/>
        <v>0</v>
      </c>
      <c r="K457" s="225">
        <f t="shared" si="38"/>
        <v>0</v>
      </c>
      <c r="L457" s="225">
        <f t="shared" si="39"/>
        <v>0</v>
      </c>
      <c r="M457" s="225">
        <f t="shared" si="40"/>
        <v>0</v>
      </c>
      <c r="O457" s="225">
        <f t="shared" si="41"/>
        <v>0</v>
      </c>
      <c r="P457" s="225">
        <f t="shared" si="42"/>
        <v>0</v>
      </c>
      <c r="Q457" s="225">
        <f t="shared" si="43"/>
        <v>0</v>
      </c>
      <c r="R457" s="225">
        <f t="shared" si="44"/>
        <v>0</v>
      </c>
    </row>
    <row r="458" spans="1:18">
      <c r="B458" s="106" t="s">
        <v>285</v>
      </c>
      <c r="H458" s="96"/>
      <c r="I458" s="225">
        <f t="shared" si="36"/>
        <v>0</v>
      </c>
      <c r="J458" s="225">
        <f t="shared" si="37"/>
        <v>0</v>
      </c>
      <c r="K458" s="225">
        <f t="shared" si="38"/>
        <v>0</v>
      </c>
      <c r="L458" s="225">
        <f t="shared" si="39"/>
        <v>0</v>
      </c>
      <c r="M458" s="225">
        <f t="shared" si="40"/>
        <v>0</v>
      </c>
      <c r="O458" s="225">
        <f t="shared" si="41"/>
        <v>0</v>
      </c>
      <c r="P458" s="225">
        <f t="shared" si="42"/>
        <v>0</v>
      </c>
      <c r="Q458" s="225">
        <f t="shared" si="43"/>
        <v>0</v>
      </c>
      <c r="R458" s="225">
        <f t="shared" si="44"/>
        <v>0</v>
      </c>
    </row>
    <row r="459" spans="1:18">
      <c r="B459" s="106" t="s">
        <v>286</v>
      </c>
      <c r="H459" s="96"/>
      <c r="I459" s="225">
        <f t="shared" si="36"/>
        <v>0</v>
      </c>
      <c r="J459" s="225">
        <f t="shared" si="37"/>
        <v>0</v>
      </c>
      <c r="K459" s="225">
        <f t="shared" si="38"/>
        <v>0</v>
      </c>
      <c r="L459" s="225">
        <f t="shared" si="39"/>
        <v>0</v>
      </c>
      <c r="M459" s="225">
        <f t="shared" si="40"/>
        <v>0</v>
      </c>
      <c r="O459" s="225">
        <f t="shared" si="41"/>
        <v>0</v>
      </c>
      <c r="P459" s="225">
        <f t="shared" si="42"/>
        <v>0</v>
      </c>
      <c r="Q459" s="225">
        <f t="shared" si="43"/>
        <v>0</v>
      </c>
      <c r="R459" s="225">
        <f t="shared" si="44"/>
        <v>0</v>
      </c>
    </row>
    <row r="460" spans="1:18">
      <c r="B460" s="106" t="s">
        <v>287</v>
      </c>
      <c r="H460" s="96"/>
      <c r="I460" s="225">
        <f t="shared" si="36"/>
        <v>0</v>
      </c>
      <c r="J460" s="225">
        <f t="shared" si="37"/>
        <v>0</v>
      </c>
      <c r="K460" s="225">
        <f t="shared" si="38"/>
        <v>0</v>
      </c>
      <c r="L460" s="225">
        <f t="shared" si="39"/>
        <v>0</v>
      </c>
      <c r="M460" s="225">
        <f t="shared" si="40"/>
        <v>0</v>
      </c>
      <c r="O460" s="225">
        <f t="shared" si="41"/>
        <v>0</v>
      </c>
      <c r="P460" s="225">
        <f t="shared" si="42"/>
        <v>0</v>
      </c>
      <c r="Q460" s="225">
        <f t="shared" si="43"/>
        <v>0</v>
      </c>
      <c r="R460" s="225">
        <f t="shared" si="44"/>
        <v>0</v>
      </c>
    </row>
    <row r="461" spans="1:18">
      <c r="B461" s="106" t="s">
        <v>288</v>
      </c>
      <c r="H461" s="96"/>
      <c r="I461" s="225">
        <f t="shared" si="36"/>
        <v>0</v>
      </c>
      <c r="J461" s="225">
        <f t="shared" si="37"/>
        <v>0</v>
      </c>
      <c r="K461" s="225">
        <f t="shared" si="38"/>
        <v>0</v>
      </c>
      <c r="L461" s="225">
        <f t="shared" si="39"/>
        <v>0</v>
      </c>
      <c r="M461" s="225">
        <f t="shared" si="40"/>
        <v>0</v>
      </c>
      <c r="O461" s="225">
        <f t="shared" si="41"/>
        <v>0</v>
      </c>
      <c r="P461" s="225">
        <f t="shared" si="42"/>
        <v>0</v>
      </c>
      <c r="Q461" s="225">
        <f t="shared" si="43"/>
        <v>0</v>
      </c>
      <c r="R461" s="225">
        <f t="shared" si="44"/>
        <v>0</v>
      </c>
    </row>
    <row r="462" spans="1:18">
      <c r="B462" s="106" t="s">
        <v>289</v>
      </c>
      <c r="H462" s="96"/>
      <c r="I462" s="225">
        <f t="shared" si="36"/>
        <v>0</v>
      </c>
      <c r="J462" s="225">
        <f t="shared" si="37"/>
        <v>0</v>
      </c>
      <c r="K462" s="225">
        <f t="shared" si="38"/>
        <v>0</v>
      </c>
      <c r="L462" s="225">
        <f t="shared" si="39"/>
        <v>0</v>
      </c>
      <c r="M462" s="225">
        <f t="shared" si="40"/>
        <v>0</v>
      </c>
      <c r="O462" s="225">
        <f t="shared" si="41"/>
        <v>0</v>
      </c>
      <c r="P462" s="225">
        <f t="shared" si="42"/>
        <v>0</v>
      </c>
      <c r="Q462" s="225">
        <f t="shared" si="43"/>
        <v>0</v>
      </c>
      <c r="R462" s="225">
        <f t="shared" si="44"/>
        <v>0</v>
      </c>
    </row>
    <row r="463" spans="1:18">
      <c r="B463" s="106" t="s">
        <v>290</v>
      </c>
      <c r="H463" s="96"/>
      <c r="I463" s="225">
        <f t="shared" si="36"/>
        <v>0</v>
      </c>
      <c r="J463" s="225">
        <f t="shared" si="37"/>
        <v>0</v>
      </c>
      <c r="K463" s="225">
        <f t="shared" si="38"/>
        <v>0</v>
      </c>
      <c r="L463" s="225">
        <f t="shared" si="39"/>
        <v>0</v>
      </c>
      <c r="M463" s="225">
        <f t="shared" si="40"/>
        <v>0</v>
      </c>
      <c r="O463" s="225">
        <f t="shared" si="41"/>
        <v>0</v>
      </c>
      <c r="P463" s="225">
        <f t="shared" si="42"/>
        <v>0</v>
      </c>
      <c r="Q463" s="225">
        <f t="shared" si="43"/>
        <v>0</v>
      </c>
      <c r="R463" s="225">
        <f t="shared" si="44"/>
        <v>0</v>
      </c>
    </row>
    <row r="464" spans="1:18" hidden="1">
      <c r="B464" s="106"/>
      <c r="H464" s="96"/>
      <c r="I464" s="225">
        <f t="shared" si="36"/>
        <v>0</v>
      </c>
      <c r="J464" s="225">
        <f t="shared" si="37"/>
        <v>0</v>
      </c>
      <c r="K464" s="225">
        <f t="shared" si="38"/>
        <v>0</v>
      </c>
      <c r="L464" s="225">
        <f t="shared" si="39"/>
        <v>0</v>
      </c>
      <c r="M464" s="225">
        <f t="shared" si="40"/>
        <v>0</v>
      </c>
      <c r="O464" s="225">
        <f t="shared" si="41"/>
        <v>0</v>
      </c>
      <c r="P464" s="225">
        <f t="shared" si="42"/>
        <v>0</v>
      </c>
      <c r="Q464" s="225">
        <f t="shared" si="43"/>
        <v>0</v>
      </c>
      <c r="R464" s="225">
        <f t="shared" si="44"/>
        <v>0</v>
      </c>
    </row>
    <row r="465" spans="2:18" hidden="1">
      <c r="B465" s="106"/>
      <c r="H465" s="96"/>
      <c r="I465" s="225">
        <f t="shared" si="36"/>
        <v>0</v>
      </c>
      <c r="J465" s="225">
        <f t="shared" si="37"/>
        <v>0</v>
      </c>
      <c r="K465" s="225">
        <f t="shared" si="38"/>
        <v>0</v>
      </c>
      <c r="L465" s="225">
        <f t="shared" si="39"/>
        <v>0</v>
      </c>
      <c r="M465" s="225">
        <f t="shared" si="40"/>
        <v>0</v>
      </c>
      <c r="O465" s="225">
        <f t="shared" si="41"/>
        <v>0</v>
      </c>
      <c r="P465" s="225">
        <f t="shared" si="42"/>
        <v>0</v>
      </c>
      <c r="Q465" s="225">
        <f t="shared" si="43"/>
        <v>0</v>
      </c>
      <c r="R465" s="225">
        <f t="shared" si="44"/>
        <v>0</v>
      </c>
    </row>
    <row r="466" spans="2:18" hidden="1">
      <c r="B466" s="106"/>
      <c r="H466" s="96"/>
      <c r="I466" s="225">
        <f t="shared" si="36"/>
        <v>0</v>
      </c>
      <c r="J466" s="225">
        <f t="shared" si="37"/>
        <v>0</v>
      </c>
      <c r="K466" s="225">
        <f t="shared" si="38"/>
        <v>0</v>
      </c>
      <c r="L466" s="225">
        <f t="shared" si="39"/>
        <v>0</v>
      </c>
      <c r="M466" s="225">
        <f t="shared" si="40"/>
        <v>0</v>
      </c>
      <c r="O466" s="225">
        <f t="shared" si="41"/>
        <v>0</v>
      </c>
      <c r="P466" s="225">
        <f t="shared" si="42"/>
        <v>0</v>
      </c>
      <c r="Q466" s="225">
        <f t="shared" si="43"/>
        <v>0</v>
      </c>
      <c r="R466" s="225">
        <f t="shared" si="44"/>
        <v>0</v>
      </c>
    </row>
    <row r="467" spans="2:18" hidden="1">
      <c r="B467" s="106"/>
      <c r="H467" s="96"/>
      <c r="I467" s="225">
        <f t="shared" si="36"/>
        <v>0</v>
      </c>
      <c r="J467" s="225">
        <f t="shared" si="37"/>
        <v>0</v>
      </c>
      <c r="K467" s="225">
        <f t="shared" si="38"/>
        <v>0</v>
      </c>
      <c r="L467" s="225">
        <f t="shared" si="39"/>
        <v>0</v>
      </c>
      <c r="M467" s="225">
        <f t="shared" si="40"/>
        <v>0</v>
      </c>
      <c r="O467" s="225">
        <f t="shared" si="41"/>
        <v>0</v>
      </c>
      <c r="P467" s="225">
        <f t="shared" si="42"/>
        <v>0</v>
      </c>
      <c r="Q467" s="225">
        <f t="shared" si="43"/>
        <v>0</v>
      </c>
      <c r="R467" s="225">
        <f t="shared" si="44"/>
        <v>0</v>
      </c>
    </row>
    <row r="468" spans="2:18" hidden="1">
      <c r="B468" s="106"/>
      <c r="H468" s="96"/>
      <c r="I468" s="225">
        <f t="shared" si="36"/>
        <v>0</v>
      </c>
      <c r="J468" s="225">
        <f t="shared" si="37"/>
        <v>0</v>
      </c>
      <c r="K468" s="225">
        <f t="shared" si="38"/>
        <v>0</v>
      </c>
      <c r="L468" s="225">
        <f t="shared" si="39"/>
        <v>0</v>
      </c>
      <c r="M468" s="225">
        <f t="shared" si="40"/>
        <v>0</v>
      </c>
      <c r="O468" s="225">
        <f t="shared" si="41"/>
        <v>0</v>
      </c>
      <c r="P468" s="225">
        <f t="shared" si="42"/>
        <v>0</v>
      </c>
      <c r="Q468" s="225">
        <f t="shared" si="43"/>
        <v>0</v>
      </c>
      <c r="R468" s="225">
        <f t="shared" si="44"/>
        <v>0</v>
      </c>
    </row>
    <row r="469" spans="2:18" hidden="1">
      <c r="B469" s="106"/>
      <c r="H469" s="96"/>
      <c r="I469" s="225">
        <f t="shared" si="36"/>
        <v>0</v>
      </c>
      <c r="J469" s="225">
        <f t="shared" si="37"/>
        <v>0</v>
      </c>
      <c r="K469" s="225">
        <f t="shared" si="38"/>
        <v>0</v>
      </c>
      <c r="L469" s="225">
        <f t="shared" si="39"/>
        <v>0</v>
      </c>
      <c r="M469" s="225">
        <f t="shared" si="40"/>
        <v>0</v>
      </c>
      <c r="O469" s="225">
        <f t="shared" si="41"/>
        <v>0</v>
      </c>
      <c r="P469" s="225">
        <f t="shared" si="42"/>
        <v>0</v>
      </c>
      <c r="Q469" s="225">
        <f t="shared" si="43"/>
        <v>0</v>
      </c>
      <c r="R469" s="225">
        <f t="shared" si="44"/>
        <v>0</v>
      </c>
    </row>
    <row r="470" spans="2:18" hidden="1">
      <c r="B470" s="106"/>
      <c r="H470" s="96"/>
      <c r="I470" s="225">
        <f t="shared" si="36"/>
        <v>0</v>
      </c>
      <c r="J470" s="225">
        <f t="shared" si="37"/>
        <v>0</v>
      </c>
      <c r="K470" s="225">
        <f t="shared" si="38"/>
        <v>0</v>
      </c>
      <c r="L470" s="225">
        <f t="shared" si="39"/>
        <v>0</v>
      </c>
      <c r="M470" s="225">
        <f t="shared" si="40"/>
        <v>0</v>
      </c>
      <c r="O470" s="225">
        <f t="shared" si="41"/>
        <v>0</v>
      </c>
      <c r="P470" s="225">
        <f t="shared" si="42"/>
        <v>0</v>
      </c>
      <c r="Q470" s="225">
        <f t="shared" si="43"/>
        <v>0</v>
      </c>
      <c r="R470" s="225">
        <f t="shared" si="44"/>
        <v>0</v>
      </c>
    </row>
    <row r="471" spans="2:18" hidden="1">
      <c r="B471" s="106"/>
      <c r="H471" s="96"/>
      <c r="I471" s="225">
        <f t="shared" si="36"/>
        <v>0</v>
      </c>
      <c r="J471" s="225">
        <f t="shared" si="37"/>
        <v>0</v>
      </c>
      <c r="K471" s="225">
        <f t="shared" si="38"/>
        <v>0</v>
      </c>
      <c r="L471" s="225">
        <f t="shared" si="39"/>
        <v>0</v>
      </c>
      <c r="M471" s="225">
        <f t="shared" si="40"/>
        <v>0</v>
      </c>
      <c r="O471" s="225">
        <f t="shared" si="41"/>
        <v>0</v>
      </c>
      <c r="P471" s="225">
        <f t="shared" si="42"/>
        <v>0</v>
      </c>
      <c r="Q471" s="225">
        <f t="shared" si="43"/>
        <v>0</v>
      </c>
      <c r="R471" s="225">
        <f t="shared" si="44"/>
        <v>0</v>
      </c>
    </row>
    <row r="472" spans="2:18" hidden="1">
      <c r="B472" s="106"/>
      <c r="H472" s="96"/>
      <c r="I472" s="225">
        <f t="shared" si="36"/>
        <v>0</v>
      </c>
      <c r="J472" s="225">
        <f t="shared" si="37"/>
        <v>0</v>
      </c>
      <c r="K472" s="225">
        <f t="shared" si="38"/>
        <v>0</v>
      </c>
      <c r="L472" s="225">
        <f t="shared" si="39"/>
        <v>0</v>
      </c>
      <c r="M472" s="225">
        <f t="shared" si="40"/>
        <v>0</v>
      </c>
      <c r="O472" s="225">
        <f t="shared" si="41"/>
        <v>0</v>
      </c>
      <c r="P472" s="225">
        <f t="shared" si="42"/>
        <v>0</v>
      </c>
      <c r="Q472" s="225">
        <f t="shared" si="43"/>
        <v>0</v>
      </c>
      <c r="R472" s="225">
        <f t="shared" si="44"/>
        <v>0</v>
      </c>
    </row>
    <row r="473" spans="2:18" hidden="1">
      <c r="B473" s="106"/>
      <c r="H473" s="96"/>
      <c r="I473" s="225">
        <f t="shared" si="36"/>
        <v>0</v>
      </c>
      <c r="J473" s="225">
        <f t="shared" si="37"/>
        <v>0</v>
      </c>
      <c r="K473" s="225">
        <f t="shared" si="38"/>
        <v>0</v>
      </c>
      <c r="L473" s="225">
        <f t="shared" si="39"/>
        <v>0</v>
      </c>
      <c r="M473" s="225">
        <f t="shared" si="40"/>
        <v>0</v>
      </c>
      <c r="O473" s="225">
        <f t="shared" si="41"/>
        <v>0</v>
      </c>
      <c r="P473" s="225">
        <f t="shared" si="42"/>
        <v>0</v>
      </c>
      <c r="Q473" s="225">
        <f t="shared" si="43"/>
        <v>0</v>
      </c>
      <c r="R473" s="225">
        <f t="shared" si="44"/>
        <v>0</v>
      </c>
    </row>
    <row r="474" spans="2:18" hidden="1">
      <c r="B474" s="106"/>
      <c r="H474" s="96"/>
      <c r="I474" s="225">
        <f t="shared" si="36"/>
        <v>0</v>
      </c>
      <c r="J474" s="225">
        <f t="shared" si="37"/>
        <v>0</v>
      </c>
      <c r="K474" s="225">
        <f t="shared" si="38"/>
        <v>0</v>
      </c>
      <c r="L474" s="225">
        <f t="shared" si="39"/>
        <v>0</v>
      </c>
      <c r="M474" s="225">
        <f t="shared" si="40"/>
        <v>0</v>
      </c>
      <c r="O474" s="225">
        <f t="shared" si="41"/>
        <v>0</v>
      </c>
      <c r="P474" s="225">
        <f t="shared" si="42"/>
        <v>0</v>
      </c>
      <c r="Q474" s="225">
        <f t="shared" si="43"/>
        <v>0</v>
      </c>
      <c r="R474" s="225">
        <f t="shared" si="44"/>
        <v>0</v>
      </c>
    </row>
    <row r="475" spans="2:18" hidden="1">
      <c r="B475" s="106"/>
      <c r="H475" s="96"/>
      <c r="I475" s="225">
        <f t="shared" si="36"/>
        <v>0</v>
      </c>
      <c r="J475" s="225">
        <f t="shared" si="37"/>
        <v>0</v>
      </c>
      <c r="K475" s="225">
        <f t="shared" si="38"/>
        <v>0</v>
      </c>
      <c r="L475" s="225">
        <f t="shared" si="39"/>
        <v>0</v>
      </c>
      <c r="M475" s="225">
        <f t="shared" si="40"/>
        <v>0</v>
      </c>
      <c r="O475" s="225">
        <f t="shared" si="41"/>
        <v>0</v>
      </c>
      <c r="P475" s="225">
        <f t="shared" si="42"/>
        <v>0</v>
      </c>
      <c r="Q475" s="225">
        <f t="shared" si="43"/>
        <v>0</v>
      </c>
      <c r="R475" s="225">
        <f t="shared" si="44"/>
        <v>0</v>
      </c>
    </row>
    <row r="476" spans="2:18" hidden="1">
      <c r="B476" s="106"/>
      <c r="H476" s="96"/>
      <c r="I476" s="225">
        <f t="shared" si="36"/>
        <v>0</v>
      </c>
      <c r="J476" s="225">
        <f t="shared" si="37"/>
        <v>0</v>
      </c>
      <c r="K476" s="225">
        <f t="shared" si="38"/>
        <v>0</v>
      </c>
      <c r="L476" s="225">
        <f t="shared" si="39"/>
        <v>0</v>
      </c>
      <c r="M476" s="225">
        <f t="shared" si="40"/>
        <v>0</v>
      </c>
      <c r="O476" s="225">
        <f t="shared" si="41"/>
        <v>0</v>
      </c>
      <c r="P476" s="225">
        <f t="shared" si="42"/>
        <v>0</v>
      </c>
      <c r="Q476" s="225">
        <f t="shared" si="43"/>
        <v>0</v>
      </c>
      <c r="R476" s="225">
        <f t="shared" si="44"/>
        <v>0</v>
      </c>
    </row>
    <row r="477" spans="2:18" hidden="1">
      <c r="B477" s="106"/>
      <c r="H477" s="96"/>
      <c r="I477" s="225">
        <f t="shared" si="36"/>
        <v>0</v>
      </c>
      <c r="J477" s="225">
        <f t="shared" si="37"/>
        <v>0</v>
      </c>
      <c r="K477" s="225">
        <f t="shared" si="38"/>
        <v>0</v>
      </c>
      <c r="L477" s="225">
        <f t="shared" si="39"/>
        <v>0</v>
      </c>
      <c r="M477" s="225">
        <f t="shared" si="40"/>
        <v>0</v>
      </c>
      <c r="O477" s="225">
        <f t="shared" si="41"/>
        <v>0</v>
      </c>
      <c r="P477" s="225">
        <f t="shared" si="42"/>
        <v>0</v>
      </c>
      <c r="Q477" s="225">
        <f t="shared" si="43"/>
        <v>0</v>
      </c>
      <c r="R477" s="225">
        <f t="shared" si="44"/>
        <v>0</v>
      </c>
    </row>
    <row r="478" spans="2:18" hidden="1">
      <c r="B478" s="106"/>
      <c r="H478" s="96"/>
      <c r="I478" s="225">
        <f t="shared" si="36"/>
        <v>0</v>
      </c>
      <c r="J478" s="225">
        <f t="shared" si="37"/>
        <v>0</v>
      </c>
      <c r="K478" s="225">
        <f t="shared" si="38"/>
        <v>0</v>
      </c>
      <c r="L478" s="225">
        <f t="shared" si="39"/>
        <v>0</v>
      </c>
      <c r="M478" s="225">
        <f t="shared" si="40"/>
        <v>0</v>
      </c>
      <c r="O478" s="225">
        <f t="shared" si="41"/>
        <v>0</v>
      </c>
      <c r="P478" s="225">
        <f t="shared" si="42"/>
        <v>0</v>
      </c>
      <c r="Q478" s="225">
        <f t="shared" si="43"/>
        <v>0</v>
      </c>
      <c r="R478" s="225">
        <f t="shared" si="44"/>
        <v>0</v>
      </c>
    </row>
    <row r="479" spans="2:18" hidden="1">
      <c r="B479" s="106"/>
      <c r="H479" s="96"/>
      <c r="I479" s="225">
        <f t="shared" si="36"/>
        <v>0</v>
      </c>
      <c r="J479" s="225">
        <f t="shared" si="37"/>
        <v>0</v>
      </c>
      <c r="K479" s="225">
        <f t="shared" si="38"/>
        <v>0</v>
      </c>
      <c r="L479" s="225">
        <f t="shared" si="39"/>
        <v>0</v>
      </c>
      <c r="M479" s="225">
        <f t="shared" si="40"/>
        <v>0</v>
      </c>
      <c r="O479" s="225">
        <f t="shared" si="41"/>
        <v>0</v>
      </c>
      <c r="P479" s="225">
        <f t="shared" si="42"/>
        <v>0</v>
      </c>
      <c r="Q479" s="225">
        <f t="shared" si="43"/>
        <v>0</v>
      </c>
      <c r="R479" s="225">
        <f t="shared" si="44"/>
        <v>0</v>
      </c>
    </row>
    <row r="480" spans="2:18" hidden="1">
      <c r="B480" s="106"/>
      <c r="H480" s="96"/>
      <c r="I480" s="225">
        <f t="shared" si="36"/>
        <v>0</v>
      </c>
      <c r="J480" s="225">
        <f t="shared" si="37"/>
        <v>0</v>
      </c>
      <c r="K480" s="225">
        <f t="shared" si="38"/>
        <v>0</v>
      </c>
      <c r="L480" s="225">
        <f t="shared" si="39"/>
        <v>0</v>
      </c>
      <c r="M480" s="225">
        <f t="shared" si="40"/>
        <v>0</v>
      </c>
      <c r="O480" s="225">
        <f t="shared" si="41"/>
        <v>0</v>
      </c>
      <c r="P480" s="225">
        <f t="shared" si="42"/>
        <v>0</v>
      </c>
      <c r="Q480" s="225">
        <f t="shared" si="43"/>
        <v>0</v>
      </c>
      <c r="R480" s="225">
        <f t="shared" si="44"/>
        <v>0</v>
      </c>
    </row>
    <row r="481" spans="2:18" hidden="1">
      <c r="B481" s="106"/>
      <c r="H481" s="96"/>
      <c r="I481" s="225">
        <f t="shared" si="36"/>
        <v>0</v>
      </c>
      <c r="J481" s="225">
        <f t="shared" si="37"/>
        <v>0</v>
      </c>
      <c r="K481" s="225">
        <f t="shared" si="38"/>
        <v>0</v>
      </c>
      <c r="L481" s="225">
        <f t="shared" si="39"/>
        <v>0</v>
      </c>
      <c r="M481" s="225">
        <f t="shared" si="40"/>
        <v>0</v>
      </c>
      <c r="O481" s="225">
        <f t="shared" si="41"/>
        <v>0</v>
      </c>
      <c r="P481" s="225">
        <f t="shared" si="42"/>
        <v>0</v>
      </c>
      <c r="Q481" s="225">
        <f t="shared" si="43"/>
        <v>0</v>
      </c>
      <c r="R481" s="225">
        <f t="shared" si="44"/>
        <v>0</v>
      </c>
    </row>
    <row r="482" spans="2:18" hidden="1">
      <c r="B482" s="106"/>
      <c r="H482" s="96"/>
      <c r="I482" s="225">
        <f t="shared" si="36"/>
        <v>0</v>
      </c>
      <c r="J482" s="225">
        <f t="shared" si="37"/>
        <v>0</v>
      </c>
      <c r="K482" s="225">
        <f t="shared" si="38"/>
        <v>0</v>
      </c>
      <c r="L482" s="225">
        <f t="shared" si="39"/>
        <v>0</v>
      </c>
      <c r="M482" s="225">
        <f t="shared" si="40"/>
        <v>0</v>
      </c>
      <c r="O482" s="225">
        <f t="shared" si="41"/>
        <v>0</v>
      </c>
      <c r="P482" s="225">
        <f t="shared" si="42"/>
        <v>0</v>
      </c>
      <c r="Q482" s="225">
        <f t="shared" si="43"/>
        <v>0</v>
      </c>
      <c r="R482" s="225">
        <f t="shared" si="44"/>
        <v>0</v>
      </c>
    </row>
    <row r="483" spans="2:18" hidden="1">
      <c r="B483" s="106"/>
      <c r="H483" s="96"/>
      <c r="I483" s="225">
        <f t="shared" si="36"/>
        <v>0</v>
      </c>
      <c r="J483" s="225">
        <f t="shared" si="37"/>
        <v>0</v>
      </c>
      <c r="K483" s="225">
        <f t="shared" si="38"/>
        <v>0</v>
      </c>
      <c r="L483" s="225">
        <f t="shared" si="39"/>
        <v>0</v>
      </c>
      <c r="M483" s="225">
        <f t="shared" si="40"/>
        <v>0</v>
      </c>
      <c r="O483" s="225">
        <f t="shared" si="41"/>
        <v>0</v>
      </c>
      <c r="P483" s="225">
        <f t="shared" si="42"/>
        <v>0</v>
      </c>
      <c r="Q483" s="225">
        <f t="shared" si="43"/>
        <v>0</v>
      </c>
      <c r="R483" s="225">
        <f t="shared" si="44"/>
        <v>0</v>
      </c>
    </row>
    <row r="484" spans="2:18">
      <c r="B484" s="106" t="s">
        <v>291</v>
      </c>
      <c r="H484" s="96"/>
      <c r="I484" s="225">
        <f t="shared" si="36"/>
        <v>0</v>
      </c>
      <c r="J484" s="225">
        <f t="shared" si="37"/>
        <v>0</v>
      </c>
      <c r="K484" s="225">
        <f t="shared" si="38"/>
        <v>0</v>
      </c>
      <c r="L484" s="225">
        <f t="shared" si="39"/>
        <v>0</v>
      </c>
      <c r="M484" s="225">
        <f t="shared" si="40"/>
        <v>0</v>
      </c>
      <c r="O484" s="225">
        <f t="shared" si="41"/>
        <v>0</v>
      </c>
      <c r="P484" s="225">
        <f t="shared" si="42"/>
        <v>0</v>
      </c>
      <c r="Q484" s="225">
        <f t="shared" si="43"/>
        <v>0</v>
      </c>
      <c r="R484" s="225">
        <f t="shared" si="44"/>
        <v>0</v>
      </c>
    </row>
    <row r="485" spans="2:18">
      <c r="B485" s="103" t="s">
        <v>75</v>
      </c>
      <c r="C485" s="66">
        <f>C342+C393+C452</f>
        <v>0</v>
      </c>
      <c r="D485" s="66">
        <f>D342+D393+D452</f>
        <v>0</v>
      </c>
      <c r="E485" s="66">
        <f>E342+E393+E452</f>
        <v>0</v>
      </c>
      <c r="F485" s="66">
        <f>F342+F393+F452</f>
        <v>0</v>
      </c>
      <c r="G485" s="66">
        <f>G342+G393+G452</f>
        <v>0</v>
      </c>
      <c r="H485" s="96"/>
      <c r="I485" s="231">
        <f t="shared" si="36"/>
        <v>0</v>
      </c>
      <c r="J485" s="231">
        <f t="shared" si="37"/>
        <v>0</v>
      </c>
      <c r="K485" s="231">
        <f t="shared" si="38"/>
        <v>0</v>
      </c>
      <c r="L485" s="231">
        <f t="shared" si="39"/>
        <v>0</v>
      </c>
      <c r="M485" s="231">
        <f t="shared" si="40"/>
        <v>0</v>
      </c>
      <c r="O485" s="231">
        <f t="shared" si="41"/>
        <v>0</v>
      </c>
      <c r="P485" s="231">
        <f t="shared" si="42"/>
        <v>0</v>
      </c>
      <c r="Q485" s="231">
        <f t="shared" si="43"/>
        <v>0</v>
      </c>
      <c r="R485" s="231">
        <f t="shared" si="44"/>
        <v>0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22"/>
  <sheetViews>
    <sheetView showGridLines="0" tabSelected="1" zoomScale="96" zoomScaleNormal="104" workbookViewId="0">
      <selection activeCell="H1" sqref="H1"/>
    </sheetView>
  </sheetViews>
  <sheetFormatPr defaultColWidth="9.1796875" defaultRowHeight="16"/>
  <cols>
    <col min="1" max="1" width="3" style="7" bestFit="1" customWidth="1"/>
    <col min="2" max="2" width="23.81640625" style="7" bestFit="1" customWidth="1"/>
    <col min="3" max="3" width="41.453125" style="7" bestFit="1" customWidth="1"/>
    <col min="4" max="4" width="7.6328125" style="28" customWidth="1"/>
    <col min="5" max="5" width="7.6328125" style="29" customWidth="1"/>
    <col min="6" max="8" width="7.6328125" style="7" customWidth="1"/>
    <col min="9" max="9" width="9.1796875" style="7" customWidth="1"/>
    <col min="10" max="16384" width="9.1796875" style="7"/>
  </cols>
  <sheetData>
    <row r="2" spans="2:9">
      <c r="B2" s="32" t="s">
        <v>0</v>
      </c>
      <c r="C2" s="17"/>
      <c r="D2" s="18"/>
      <c r="E2" s="19"/>
    </row>
    <row r="3" spans="2:9">
      <c r="B3" s="121" t="s">
        <v>1</v>
      </c>
      <c r="C3" s="121" t="s">
        <v>2</v>
      </c>
      <c r="D3" s="122" t="str">
        <f>IS!C5</f>
        <v>FY22</v>
      </c>
      <c r="E3" s="122" t="str">
        <f>IS!D5</f>
        <v>FY23</v>
      </c>
      <c r="F3" s="122" t="str">
        <f>IS!E5</f>
        <v>FY24</v>
      </c>
      <c r="G3" s="122" t="str">
        <f>IS!F5</f>
        <v>FY25</v>
      </c>
      <c r="H3" s="122" t="str">
        <f>IS!G5</f>
        <v>FY26</v>
      </c>
    </row>
    <row r="4" spans="2:9">
      <c r="B4" s="30" t="s">
        <v>3</v>
      </c>
      <c r="C4" s="30" t="s">
        <v>4</v>
      </c>
      <c r="D4" s="31">
        <f>IFERROR(BS!C26/BS!C32,0)</f>
        <v>0</v>
      </c>
      <c r="E4" s="31">
        <f>IFERROR(BS!D26/BS!D32,0)</f>
        <v>0</v>
      </c>
      <c r="F4" s="31">
        <f>IFERROR(BS!E26/BS!E32,0)</f>
        <v>0</v>
      </c>
      <c r="G4" s="31">
        <f>IFERROR(BS!F26/BS!F32,0)</f>
        <v>0</v>
      </c>
      <c r="H4" s="31">
        <f>IFERROR(BS!G26/BS!G32,0)</f>
        <v>0</v>
      </c>
    </row>
    <row r="5" spans="2:9" hidden="1">
      <c r="B5" s="20" t="s">
        <v>5</v>
      </c>
      <c r="C5" s="20"/>
      <c r="D5" s="20"/>
      <c r="E5" s="20"/>
      <c r="F5" s="20"/>
      <c r="G5" s="20"/>
      <c r="H5" s="20"/>
    </row>
    <row r="6" spans="2:9">
      <c r="B6" s="20" t="s">
        <v>6</v>
      </c>
      <c r="C6" s="20" t="s">
        <v>7</v>
      </c>
      <c r="D6" s="21">
        <f>IFERROR(IS!C7/BS!C16,0)</f>
        <v>0</v>
      </c>
      <c r="E6" s="21">
        <f>IFERROR(IS!D7/BS!D16,0)</f>
        <v>0</v>
      </c>
      <c r="F6" s="21">
        <f>IFERROR(IS!E7/BS!E16,0)</f>
        <v>0</v>
      </c>
      <c r="G6" s="21">
        <f>IFERROR(IS!F7/BS!F16,0)</f>
        <v>0</v>
      </c>
      <c r="H6" s="21">
        <f>IFERROR(IS!G7/BS!G16,0)</f>
        <v>0</v>
      </c>
    </row>
    <row r="7" spans="2:9">
      <c r="B7" s="20" t="s">
        <v>8</v>
      </c>
      <c r="C7" s="20" t="s">
        <v>9</v>
      </c>
      <c r="D7" s="99">
        <f>IFERROR((IS!C19+IS!C18)/(BS!C10+BS!C13-BS!C19-BS!C18),0)</f>
        <v>0</v>
      </c>
      <c r="E7" s="99">
        <f>IFERROR((IS!D19+IS!D18)/(BS!D10+BS!D13-BS!D19-BS!D18),0)</f>
        <v>0</v>
      </c>
      <c r="F7" s="99">
        <f>IFERROR((IS!E19+IS!E18)/(BS!E10+BS!E13-BS!E19-BS!E18),0)</f>
        <v>0</v>
      </c>
      <c r="G7" s="99">
        <f>IFERROR((IS!F19+IS!F18)/(BS!F10+BS!F13-BS!F19-BS!F18),0)</f>
        <v>0</v>
      </c>
      <c r="H7" s="99">
        <f>IFERROR((IS!G19+IS!G18)/(BS!G10+BS!G13-BS!G19-BS!G18),0)</f>
        <v>0</v>
      </c>
    </row>
    <row r="8" spans="2:9">
      <c r="B8" s="20" t="s">
        <v>10</v>
      </c>
      <c r="C8" s="20" t="s">
        <v>11</v>
      </c>
      <c r="D8" s="22">
        <f>IFERROR((IS!C19)/(BS!C10-BS!C19-BS!C18),0)</f>
        <v>0</v>
      </c>
      <c r="E8" s="22">
        <f>IFERROR((IS!D19)/(BS!D10-BS!D19-BS!D18),0)</f>
        <v>0</v>
      </c>
      <c r="F8" s="22">
        <f>IFERROR((IS!E19)/(BS!E10-BS!E19-BS!E18),0)</f>
        <v>0</v>
      </c>
      <c r="G8" s="22">
        <f>IFERROR((IS!F19)/(BS!F10-BS!F19-BS!F18),0)</f>
        <v>0</v>
      </c>
      <c r="H8" s="22">
        <f>IFERROR((IS!G19)/(BS!G10-BS!G19-BS!G18),0)</f>
        <v>0</v>
      </c>
    </row>
    <row r="9" spans="2:9">
      <c r="B9" s="20" t="s">
        <v>12</v>
      </c>
      <c r="C9" s="20" t="s">
        <v>13</v>
      </c>
      <c r="D9" s="22">
        <f>IS!H16</f>
        <v>0</v>
      </c>
      <c r="E9" s="22">
        <f>IS!I16</f>
        <v>0</v>
      </c>
      <c r="F9" s="22">
        <f>IS!J16</f>
        <v>0</v>
      </c>
      <c r="G9" s="22">
        <f>IS!K16</f>
        <v>0</v>
      </c>
      <c r="H9" s="22">
        <f>IS!L16</f>
        <v>0</v>
      </c>
    </row>
    <row r="10" spans="2:9">
      <c r="B10" s="20" t="s">
        <v>14</v>
      </c>
      <c r="C10" s="20" t="s">
        <v>15</v>
      </c>
      <c r="D10" s="22">
        <f>IS!H19</f>
        <v>0</v>
      </c>
      <c r="E10" s="22">
        <f>IS!I19</f>
        <v>0</v>
      </c>
      <c r="F10" s="22">
        <f>IS!J19</f>
        <v>0</v>
      </c>
      <c r="G10" s="22">
        <f>IS!K19</f>
        <v>0</v>
      </c>
      <c r="H10" s="22">
        <f>IS!L19</f>
        <v>0</v>
      </c>
    </row>
    <row r="11" spans="2:9" ht="3" customHeight="1" thickBot="1">
      <c r="B11" s="23"/>
      <c r="C11" s="23"/>
      <c r="D11" s="24"/>
      <c r="E11" s="24"/>
      <c r="F11" s="16"/>
      <c r="G11" s="16"/>
      <c r="H11" s="16"/>
    </row>
    <row r="12" spans="2:9">
      <c r="B12" s="20"/>
      <c r="C12" s="20"/>
      <c r="D12" s="22"/>
      <c r="E12" s="22"/>
    </row>
    <row r="13" spans="2:9">
      <c r="B13" s="25" t="s">
        <v>16</v>
      </c>
      <c r="C13" s="25"/>
      <c r="D13" s="22"/>
      <c r="E13" s="22"/>
    </row>
    <row r="14" spans="2:9">
      <c r="B14" s="121" t="s">
        <v>1</v>
      </c>
      <c r="C14" s="121" t="s">
        <v>2</v>
      </c>
      <c r="D14" s="122" t="str">
        <f>D3</f>
        <v>FY22</v>
      </c>
      <c r="E14" s="122" t="str">
        <f>E3</f>
        <v>FY23</v>
      </c>
      <c r="F14" s="122" t="str">
        <f>F3</f>
        <v>FY24</v>
      </c>
      <c r="G14" s="122" t="str">
        <f>G3</f>
        <v>FY25</v>
      </c>
      <c r="H14" s="122" t="str">
        <f>H3</f>
        <v>FY26</v>
      </c>
    </row>
    <row r="15" spans="2:9">
      <c r="B15" s="7" t="s">
        <v>17</v>
      </c>
      <c r="C15" s="55" t="s">
        <v>18</v>
      </c>
      <c r="D15" s="33">
        <f>IFERROR(BS!C21/IS!C7*365,0)</f>
        <v>0</v>
      </c>
      <c r="E15" s="33">
        <f>IFERROR(BS!D21/IS!D7*365,0)</f>
        <v>0</v>
      </c>
      <c r="F15" s="33">
        <f>IFERROR(BS!E21/IS!E7*365,0)</f>
        <v>0</v>
      </c>
      <c r="G15" s="33">
        <f>IFERROR(BS!F21/IS!F7*365,0)</f>
        <v>0</v>
      </c>
      <c r="H15" s="33">
        <f>IFERROR(BS!G21/IS!G7*365,0)</f>
        <v>0</v>
      </c>
      <c r="I15" s="55"/>
    </row>
    <row r="16" spans="2:9">
      <c r="B16" s="7" t="s">
        <v>19</v>
      </c>
      <c r="C16" s="55" t="s">
        <v>20</v>
      </c>
      <c r="D16" s="33">
        <f>IFERROR(BS!C22/IS!C7*365,0)</f>
        <v>0</v>
      </c>
      <c r="E16" s="33">
        <f>IFERROR(BS!D22/IS!D7*365,0)</f>
        <v>0</v>
      </c>
      <c r="F16" s="33">
        <f>IFERROR(BS!E22/IS!E7*365,0)</f>
        <v>0</v>
      </c>
      <c r="G16" s="33">
        <f>IFERROR(BS!F22/IS!F7*365,0)</f>
        <v>0</v>
      </c>
      <c r="H16" s="33">
        <f>IFERROR(BS!G22/IS!G7*365,0)</f>
        <v>0</v>
      </c>
      <c r="I16" s="55"/>
    </row>
    <row r="17" spans="2:9">
      <c r="B17" s="7" t="s">
        <v>21</v>
      </c>
      <c r="C17" s="55" t="s">
        <v>22</v>
      </c>
      <c r="D17" s="33">
        <f>IFERROR((BS!C23+BS!C24+BS!C25)/IS!C7*365,0)</f>
        <v>0</v>
      </c>
      <c r="E17" s="33">
        <f>IFERROR((BS!D23+BS!D24+BS!D25)/IS!D7*365,0)</f>
        <v>0</v>
      </c>
      <c r="F17" s="33">
        <f>IFERROR((BS!E23+BS!E24+BS!E25)/IS!E7*365,0)</f>
        <v>0</v>
      </c>
      <c r="G17" s="33">
        <f>IFERROR((BS!F23+BS!F24+BS!F25)/IS!F7*365,0)</f>
        <v>0</v>
      </c>
      <c r="H17" s="33">
        <f>IFERROR((BS!G23+BS!G24+BS!G25)/IS!G7*365,0)</f>
        <v>0</v>
      </c>
      <c r="I17" s="55"/>
    </row>
    <row r="18" spans="2:9">
      <c r="B18" s="7" t="s">
        <v>23</v>
      </c>
      <c r="C18" s="55" t="s">
        <v>24</v>
      </c>
      <c r="D18" s="33">
        <f>IFERROR(BS!C28/IS!C7*365,0)</f>
        <v>0</v>
      </c>
      <c r="E18" s="33">
        <f>IFERROR(BS!D28/IS!D7*365,0)</f>
        <v>0</v>
      </c>
      <c r="F18" s="33">
        <f>IFERROR(BS!E28/IS!E7*365,0)</f>
        <v>0</v>
      </c>
      <c r="G18" s="33">
        <f>IFERROR(BS!F28/IS!F7*365,0)</f>
        <v>0</v>
      </c>
      <c r="H18" s="33">
        <f>IFERROR(BS!G28/IS!G7*365,0)</f>
        <v>0</v>
      </c>
      <c r="I18" s="55"/>
    </row>
    <row r="19" spans="2:9">
      <c r="B19" s="7" t="s">
        <v>25</v>
      </c>
      <c r="C19" s="55" t="s">
        <v>26</v>
      </c>
      <c r="D19" s="33">
        <f>IFERROR((BS!C29+BS!C30+BS!C31)/IS!C7*365,0)</f>
        <v>0</v>
      </c>
      <c r="E19" s="33">
        <f>IFERROR((BS!D29+BS!D30+BS!D31)/IS!D7*365,0)</f>
        <v>0</v>
      </c>
      <c r="F19" s="33">
        <f>IFERROR((BS!E29+BS!E30+BS!E31)/IS!E7*365,0)</f>
        <v>0</v>
      </c>
      <c r="G19" s="33">
        <f>IFERROR((BS!F29+BS!F30+BS!F31)/IS!F7*365,0)</f>
        <v>0</v>
      </c>
      <c r="H19" s="33">
        <f>IFERROR((BS!G29+BS!G30+BS!G31)/IS!G7*365,0)</f>
        <v>0</v>
      </c>
      <c r="I19" s="55"/>
    </row>
    <row r="20" spans="2:9" ht="16.5" customHeight="1" thickBot="1">
      <c r="B20" s="123" t="s">
        <v>27</v>
      </c>
      <c r="C20" s="123"/>
      <c r="D20" s="124">
        <f>SUM(D15:D17)-D18-D19</f>
        <v>0</v>
      </c>
      <c r="E20" s="124">
        <f>SUM(E15:E17)-E18-E19</f>
        <v>0</v>
      </c>
      <c r="F20" s="124">
        <f>SUM(F15:F17)-F18-F19</f>
        <v>0</v>
      </c>
      <c r="G20" s="124">
        <f>SUM(G15:G17)-G18-G19</f>
        <v>0</v>
      </c>
      <c r="H20" s="124">
        <f>SUM(H15:H17)-H18-H19</f>
        <v>0</v>
      </c>
    </row>
    <row r="21" spans="2:9">
      <c r="B21" s="9"/>
      <c r="C21" s="9"/>
      <c r="D21" s="26"/>
      <c r="E21" s="27"/>
    </row>
    <row r="22" spans="2:9">
      <c r="C22" s="100" t="s">
        <v>28</v>
      </c>
      <c r="D22" s="4">
        <f>IFERROR(BS!C33/IS!C7*365,0)</f>
        <v>0</v>
      </c>
      <c r="E22" s="4">
        <f>IFERROR(BS!D33/IS!D7*365,0)</f>
        <v>0</v>
      </c>
      <c r="F22" s="4">
        <f>IFERROR(BS!E33/IS!E7*365,0)</f>
        <v>0</v>
      </c>
      <c r="G22" s="4">
        <f>IFERROR(BS!F33/IS!F7*365,0)</f>
        <v>0</v>
      </c>
      <c r="H22" s="4">
        <f>IFERROR(BS!G33/IS!G7*365,0)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IS</vt:lpstr>
      <vt:lpstr>BS</vt:lpstr>
      <vt:lpstr>CF</vt:lpstr>
      <vt:lpstr>Sch.</vt:lpstr>
      <vt:lpstr>Ratios</vt:lpstr>
      <vt:lpstr>curr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Kaushal Porwal</cp:lastModifiedBy>
  <dcterms:created xsi:type="dcterms:W3CDTF">2015-06-05T18:17:20Z</dcterms:created>
  <dcterms:modified xsi:type="dcterms:W3CDTF">2026-10-14T10:33:35Z</dcterms:modified>
</cp:coreProperties>
</file>