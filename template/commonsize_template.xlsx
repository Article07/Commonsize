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filterPrivacy="1" codeName="ThisWorkbook"/>
  <xr:revisionPtr revIDLastSave="326" documentId="13_ncr:1_{C006BC2E-16C7-4165-A594-D01CB784FF73}" xr6:coauthVersionLast="47" xr6:coauthVersionMax="47" xr10:uidLastSave="{C08A860E-290E-4169-BC15-031ABD53AA47}"/>
  <bookViews>
    <workbookView xWindow="-110" yWindow="-110" windowWidth="19420" windowHeight="10300" tabRatio="711" activeTab="4" xr2:uid="{00000000-000D-0000-FFFF-FFFF00000000}"/>
  </bookViews>
  <sheets>
    <sheet name="IS" sheetId="1" r:id="rId1"/>
    <sheet name="BS" sheetId="2" r:id="rId2"/>
    <sheet name="CF" sheetId="11" r:id="rId3"/>
    <sheet name="Sch." sheetId="5" r:id="rId4"/>
    <sheet name="Ratios" sheetId="12" r:id="rId5"/>
  </sheets>
  <definedNames>
    <definedName name="_xlnm._FilterDatabase" localSheetId="3" hidden="1">Sch.!$B$258:$E$342</definedName>
    <definedName name="curr">IS!$AI$4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1" i="5" l="1"/>
  <c r="F111" i="5"/>
  <c r="E111" i="5"/>
  <c r="D111" i="5"/>
  <c r="C111" i="5"/>
  <c r="R340" i="5"/>
  <c r="Q340" i="5"/>
  <c r="P340" i="5"/>
  <c r="O340" i="5"/>
  <c r="R339" i="5"/>
  <c r="Q339" i="5"/>
  <c r="P339" i="5"/>
  <c r="O339" i="5"/>
  <c r="R338" i="5"/>
  <c r="Q338" i="5"/>
  <c r="P338" i="5"/>
  <c r="O338" i="5"/>
  <c r="R337" i="5"/>
  <c r="Q337" i="5"/>
  <c r="P337" i="5"/>
  <c r="O337" i="5"/>
  <c r="R336" i="5"/>
  <c r="Q336" i="5"/>
  <c r="P336" i="5"/>
  <c r="O336" i="5"/>
  <c r="R335" i="5"/>
  <c r="Q335" i="5"/>
  <c r="P335" i="5"/>
  <c r="O335" i="5"/>
  <c r="R320" i="5"/>
  <c r="Q320" i="5"/>
  <c r="P320" i="5"/>
  <c r="O320" i="5"/>
  <c r="R319" i="5"/>
  <c r="Q319" i="5"/>
  <c r="P319" i="5"/>
  <c r="O319" i="5"/>
  <c r="R318" i="5"/>
  <c r="Q318" i="5"/>
  <c r="P318" i="5"/>
  <c r="O318" i="5"/>
  <c r="R317" i="5"/>
  <c r="Q317" i="5"/>
  <c r="P317" i="5"/>
  <c r="O317" i="5"/>
  <c r="R316" i="5"/>
  <c r="Q316" i="5"/>
  <c r="P316" i="5"/>
  <c r="O316" i="5"/>
  <c r="R315" i="5"/>
  <c r="Q315" i="5"/>
  <c r="P315" i="5"/>
  <c r="O315" i="5"/>
  <c r="R314" i="5"/>
  <c r="Q314" i="5"/>
  <c r="P314" i="5"/>
  <c r="O314" i="5"/>
  <c r="R313" i="5"/>
  <c r="Q313" i="5"/>
  <c r="P313" i="5"/>
  <c r="O313" i="5"/>
  <c r="R312" i="5"/>
  <c r="Q312" i="5"/>
  <c r="P312" i="5"/>
  <c r="O312" i="5"/>
  <c r="R283" i="5"/>
  <c r="Q283" i="5"/>
  <c r="P283" i="5"/>
  <c r="O283" i="5"/>
  <c r="R282" i="5"/>
  <c r="Q282" i="5"/>
  <c r="P282" i="5"/>
  <c r="O282" i="5"/>
  <c r="R281" i="5"/>
  <c r="Q281" i="5"/>
  <c r="P281" i="5"/>
  <c r="O281" i="5"/>
  <c r="R280" i="5"/>
  <c r="Q280" i="5"/>
  <c r="P280" i="5"/>
  <c r="O280" i="5"/>
  <c r="R279" i="5"/>
  <c r="Q279" i="5"/>
  <c r="P279" i="5"/>
  <c r="O279" i="5"/>
  <c r="R278" i="5"/>
  <c r="Q278" i="5"/>
  <c r="P278" i="5"/>
  <c r="O278" i="5"/>
  <c r="R277" i="5"/>
  <c r="Q277" i="5"/>
  <c r="P277" i="5"/>
  <c r="O277" i="5"/>
  <c r="R276" i="5"/>
  <c r="Q276" i="5"/>
  <c r="P276" i="5"/>
  <c r="O276" i="5"/>
  <c r="R275" i="5"/>
  <c r="Q275" i="5"/>
  <c r="P275" i="5"/>
  <c r="O275" i="5"/>
  <c r="R274" i="5"/>
  <c r="Q274" i="5"/>
  <c r="P274" i="5"/>
  <c r="O274" i="5"/>
  <c r="R273" i="5"/>
  <c r="Q273" i="5"/>
  <c r="P273" i="5"/>
  <c r="O273" i="5"/>
  <c r="R272" i="5"/>
  <c r="Q272" i="5"/>
  <c r="P272" i="5"/>
  <c r="O272" i="5"/>
  <c r="R271" i="5"/>
  <c r="Q271" i="5"/>
  <c r="P271" i="5"/>
  <c r="O271" i="5"/>
  <c r="R270" i="5"/>
  <c r="Q270" i="5"/>
  <c r="P270" i="5"/>
  <c r="O270" i="5"/>
  <c r="R269" i="5"/>
  <c r="Q269" i="5"/>
  <c r="P269" i="5"/>
  <c r="O269" i="5"/>
  <c r="R268" i="5"/>
  <c r="Q268" i="5"/>
  <c r="P268" i="5"/>
  <c r="O268" i="5"/>
  <c r="O324" i="5"/>
  <c r="P324" i="5"/>
  <c r="Q324" i="5"/>
  <c r="R324" i="5"/>
  <c r="O325" i="5"/>
  <c r="P325" i="5"/>
  <c r="Q325" i="5"/>
  <c r="R325" i="5"/>
  <c r="O326" i="5"/>
  <c r="P326" i="5"/>
  <c r="Q326" i="5"/>
  <c r="R326" i="5"/>
  <c r="O327" i="5"/>
  <c r="P327" i="5"/>
  <c r="Q327" i="5"/>
  <c r="R327" i="5"/>
  <c r="O328" i="5"/>
  <c r="P328" i="5"/>
  <c r="Q328" i="5"/>
  <c r="R328" i="5"/>
  <c r="O329" i="5"/>
  <c r="P329" i="5"/>
  <c r="Q329" i="5"/>
  <c r="R329" i="5"/>
  <c r="O330" i="5"/>
  <c r="P330" i="5"/>
  <c r="Q330" i="5"/>
  <c r="R330" i="5"/>
  <c r="O331" i="5"/>
  <c r="P331" i="5"/>
  <c r="Q331" i="5"/>
  <c r="R331" i="5"/>
  <c r="O332" i="5"/>
  <c r="P332" i="5"/>
  <c r="Q332" i="5"/>
  <c r="R332" i="5"/>
  <c r="O333" i="5"/>
  <c r="P333" i="5"/>
  <c r="Q333" i="5"/>
  <c r="R333" i="5"/>
  <c r="O334" i="5"/>
  <c r="P334" i="5"/>
  <c r="Q334" i="5"/>
  <c r="R334" i="5"/>
  <c r="O341" i="5"/>
  <c r="P341" i="5"/>
  <c r="Q341" i="5"/>
  <c r="R341" i="5"/>
  <c r="O287" i="5"/>
  <c r="P287" i="5"/>
  <c r="Q287" i="5"/>
  <c r="R287" i="5"/>
  <c r="O288" i="5"/>
  <c r="P288" i="5"/>
  <c r="Q288" i="5"/>
  <c r="R288" i="5"/>
  <c r="O289" i="5"/>
  <c r="P289" i="5"/>
  <c r="Q289" i="5"/>
  <c r="R289" i="5"/>
  <c r="O290" i="5"/>
  <c r="P290" i="5"/>
  <c r="Q290" i="5"/>
  <c r="R290" i="5"/>
  <c r="O291" i="5"/>
  <c r="P291" i="5"/>
  <c r="Q291" i="5"/>
  <c r="R291" i="5"/>
  <c r="O292" i="5"/>
  <c r="P292" i="5"/>
  <c r="Q292" i="5"/>
  <c r="R292" i="5"/>
  <c r="O293" i="5"/>
  <c r="P293" i="5"/>
  <c r="Q293" i="5"/>
  <c r="R293" i="5"/>
  <c r="O294" i="5"/>
  <c r="P294" i="5"/>
  <c r="Q294" i="5"/>
  <c r="R294" i="5"/>
  <c r="O295" i="5"/>
  <c r="P295" i="5"/>
  <c r="Q295" i="5"/>
  <c r="R295" i="5"/>
  <c r="O296" i="5"/>
  <c r="P296" i="5"/>
  <c r="Q296" i="5"/>
  <c r="R296" i="5"/>
  <c r="O297" i="5"/>
  <c r="P297" i="5"/>
  <c r="Q297" i="5"/>
  <c r="R297" i="5"/>
  <c r="O298" i="5"/>
  <c r="P298" i="5"/>
  <c r="Q298" i="5"/>
  <c r="R298" i="5"/>
  <c r="O299" i="5"/>
  <c r="P299" i="5"/>
  <c r="Q299" i="5"/>
  <c r="R299" i="5"/>
  <c r="O300" i="5"/>
  <c r="P300" i="5"/>
  <c r="Q300" i="5"/>
  <c r="R300" i="5"/>
  <c r="O301" i="5"/>
  <c r="P301" i="5"/>
  <c r="Q301" i="5"/>
  <c r="R301" i="5"/>
  <c r="O302" i="5"/>
  <c r="P302" i="5"/>
  <c r="Q302" i="5"/>
  <c r="R302" i="5"/>
  <c r="O303" i="5"/>
  <c r="P303" i="5"/>
  <c r="Q303" i="5"/>
  <c r="R303" i="5"/>
  <c r="O304" i="5"/>
  <c r="P304" i="5"/>
  <c r="Q304" i="5"/>
  <c r="R304" i="5"/>
  <c r="O305" i="5"/>
  <c r="P305" i="5"/>
  <c r="Q305" i="5"/>
  <c r="R305" i="5"/>
  <c r="O306" i="5"/>
  <c r="P306" i="5"/>
  <c r="Q306" i="5"/>
  <c r="R306" i="5"/>
  <c r="O307" i="5"/>
  <c r="P307" i="5"/>
  <c r="Q307" i="5"/>
  <c r="R307" i="5"/>
  <c r="O308" i="5"/>
  <c r="P308" i="5"/>
  <c r="Q308" i="5"/>
  <c r="R308" i="5"/>
  <c r="O309" i="5"/>
  <c r="P309" i="5"/>
  <c r="Q309" i="5"/>
  <c r="R309" i="5"/>
  <c r="O310" i="5"/>
  <c r="P310" i="5"/>
  <c r="Q310" i="5"/>
  <c r="R310" i="5"/>
  <c r="O311" i="5"/>
  <c r="P311" i="5"/>
  <c r="Q311" i="5"/>
  <c r="R311" i="5"/>
  <c r="O321" i="5"/>
  <c r="P321" i="5"/>
  <c r="Q321" i="5"/>
  <c r="R321" i="5"/>
  <c r="R284" i="5"/>
  <c r="Q284" i="5"/>
  <c r="P284" i="5"/>
  <c r="O284" i="5"/>
  <c r="R267" i="5"/>
  <c r="Q267" i="5"/>
  <c r="P267" i="5"/>
  <c r="O267" i="5"/>
  <c r="R266" i="5"/>
  <c r="Q266" i="5"/>
  <c r="P266" i="5"/>
  <c r="O266" i="5"/>
  <c r="R265" i="5"/>
  <c r="Q265" i="5"/>
  <c r="P265" i="5"/>
  <c r="O265" i="5"/>
  <c r="R264" i="5"/>
  <c r="Q264" i="5"/>
  <c r="P264" i="5"/>
  <c r="O264" i="5"/>
  <c r="R263" i="5"/>
  <c r="Q263" i="5"/>
  <c r="P263" i="5"/>
  <c r="O263" i="5"/>
  <c r="R262" i="5"/>
  <c r="Q262" i="5"/>
  <c r="P262" i="5"/>
  <c r="O262" i="5"/>
  <c r="R261" i="5"/>
  <c r="Q261" i="5"/>
  <c r="P261" i="5"/>
  <c r="O261" i="5"/>
  <c r="R260" i="5"/>
  <c r="Q260" i="5"/>
  <c r="P260" i="5"/>
  <c r="O260" i="5"/>
  <c r="R258" i="5"/>
  <c r="Q258" i="5"/>
  <c r="P258" i="5"/>
  <c r="O258" i="5"/>
  <c r="J258" i="5"/>
  <c r="K258" i="5"/>
  <c r="L258" i="5"/>
  <c r="M258" i="5"/>
  <c r="I258" i="5"/>
  <c r="D259" i="5"/>
  <c r="E259" i="5"/>
  <c r="F259" i="5"/>
  <c r="G259" i="5"/>
  <c r="C259" i="5"/>
  <c r="O259" i="5" l="1"/>
  <c r="P259" i="5"/>
  <c r="R259" i="5"/>
  <c r="Q259" i="5"/>
  <c r="D70" i="5"/>
  <c r="E70" i="5"/>
  <c r="F70" i="5"/>
  <c r="G70" i="5"/>
  <c r="D30" i="5"/>
  <c r="E30" i="5"/>
  <c r="F30" i="5"/>
  <c r="G30" i="5"/>
  <c r="C30" i="5"/>
  <c r="D85" i="5"/>
  <c r="E85" i="5"/>
  <c r="F85" i="5"/>
  <c r="G85" i="5"/>
  <c r="D177" i="5"/>
  <c r="E177" i="5"/>
  <c r="F177" i="5"/>
  <c r="G177" i="5"/>
  <c r="D166" i="5"/>
  <c r="E166" i="5"/>
  <c r="F166" i="5"/>
  <c r="G166" i="5"/>
  <c r="AI4" i="1" a="1"/>
  <c r="AI4" i="1" s="1"/>
  <c r="E3" i="12"/>
  <c r="F3" i="12"/>
  <c r="G3" i="12"/>
  <c r="H3" i="12"/>
  <c r="G202" i="5"/>
  <c r="G205" i="5" s="1"/>
  <c r="F202" i="5"/>
  <c r="F205" i="5" s="1"/>
  <c r="E202" i="5"/>
  <c r="E205" i="5" s="1"/>
  <c r="D202" i="5"/>
  <c r="D205" i="5" s="1"/>
  <c r="C202" i="5"/>
  <c r="D258" i="5"/>
  <c r="E258" i="5"/>
  <c r="F258" i="5"/>
  <c r="G258" i="5"/>
  <c r="C258" i="5"/>
  <c r="D248" i="5"/>
  <c r="E248" i="5"/>
  <c r="F248" i="5"/>
  <c r="G248" i="5"/>
  <c r="C248" i="5"/>
  <c r="D237" i="5"/>
  <c r="E237" i="5"/>
  <c r="F237" i="5"/>
  <c r="G237" i="5"/>
  <c r="C237" i="5"/>
  <c r="D229" i="5"/>
  <c r="E229" i="5"/>
  <c r="F229" i="5"/>
  <c r="G229" i="5"/>
  <c r="C229" i="5"/>
  <c r="D208" i="5"/>
  <c r="E208" i="5"/>
  <c r="F208" i="5"/>
  <c r="G208" i="5"/>
  <c r="C208" i="5"/>
  <c r="D200" i="5"/>
  <c r="E200" i="5"/>
  <c r="F200" i="5"/>
  <c r="G200" i="5"/>
  <c r="C200" i="5"/>
  <c r="D189" i="5"/>
  <c r="E189" i="5"/>
  <c r="F189" i="5"/>
  <c r="G189" i="5"/>
  <c r="C189" i="5"/>
  <c r="D180" i="5"/>
  <c r="E180" i="5"/>
  <c r="F180" i="5"/>
  <c r="G180" i="5"/>
  <c r="C180" i="5"/>
  <c r="D169" i="5"/>
  <c r="E169" i="5"/>
  <c r="F169" i="5"/>
  <c r="G169" i="5"/>
  <c r="C169" i="5"/>
  <c r="D159" i="5"/>
  <c r="E159" i="5"/>
  <c r="F159" i="5"/>
  <c r="G159" i="5"/>
  <c r="C159" i="5"/>
  <c r="D153" i="5"/>
  <c r="E153" i="5"/>
  <c r="F153" i="5"/>
  <c r="G153" i="5"/>
  <c r="C153" i="5"/>
  <c r="D144" i="5"/>
  <c r="E144" i="5"/>
  <c r="F144" i="5"/>
  <c r="G144" i="5"/>
  <c r="C144" i="5"/>
  <c r="D133" i="5"/>
  <c r="E133" i="5"/>
  <c r="F133" i="5"/>
  <c r="G133" i="5"/>
  <c r="C133" i="5"/>
  <c r="D123" i="5"/>
  <c r="E123" i="5"/>
  <c r="F123" i="5"/>
  <c r="G123" i="5"/>
  <c r="C123" i="5"/>
  <c r="D114" i="5"/>
  <c r="E114" i="5"/>
  <c r="F114" i="5"/>
  <c r="G114" i="5"/>
  <c r="C114" i="5"/>
  <c r="D107" i="5"/>
  <c r="E107" i="5"/>
  <c r="F107" i="5"/>
  <c r="G107" i="5"/>
  <c r="C107" i="5"/>
  <c r="D88" i="5"/>
  <c r="E88" i="5"/>
  <c r="F88" i="5"/>
  <c r="G88" i="5"/>
  <c r="C88" i="5"/>
  <c r="D73" i="5"/>
  <c r="E73" i="5"/>
  <c r="F73" i="5"/>
  <c r="G73" i="5"/>
  <c r="C73" i="5"/>
  <c r="D63" i="5"/>
  <c r="E63" i="5"/>
  <c r="F63" i="5"/>
  <c r="G63" i="5"/>
  <c r="C63" i="5"/>
  <c r="C52" i="5"/>
  <c r="D52" i="5"/>
  <c r="E52" i="5"/>
  <c r="F52" i="5"/>
  <c r="G52" i="5"/>
  <c r="C42" i="5"/>
  <c r="D42" i="5"/>
  <c r="E42" i="5"/>
  <c r="F42" i="5"/>
  <c r="G42" i="5"/>
  <c r="C33" i="5"/>
  <c r="D33" i="5"/>
  <c r="E33" i="5"/>
  <c r="F33" i="5"/>
  <c r="G33" i="5"/>
  <c r="C25" i="5"/>
  <c r="D25" i="5"/>
  <c r="E25" i="5"/>
  <c r="F25" i="5"/>
  <c r="G25" i="5"/>
  <c r="C14" i="5"/>
  <c r="D14" i="5"/>
  <c r="E14" i="5"/>
  <c r="F14" i="5"/>
  <c r="G14" i="5"/>
  <c r="D3" i="12"/>
  <c r="D14" i="12" s="1"/>
  <c r="G323" i="5"/>
  <c r="F323" i="5"/>
  <c r="E323" i="5"/>
  <c r="D323" i="5"/>
  <c r="G286" i="5"/>
  <c r="F286" i="5"/>
  <c r="E286" i="5"/>
  <c r="D286" i="5"/>
  <c r="G255" i="5"/>
  <c r="F255" i="5"/>
  <c r="E255" i="5"/>
  <c r="D255" i="5"/>
  <c r="G245" i="5"/>
  <c r="F245" i="5"/>
  <c r="E245" i="5"/>
  <c r="D245" i="5"/>
  <c r="G234" i="5"/>
  <c r="F234" i="5"/>
  <c r="E234" i="5"/>
  <c r="D234" i="5"/>
  <c r="G226" i="5"/>
  <c r="F226" i="5"/>
  <c r="E226" i="5"/>
  <c r="D226" i="5"/>
  <c r="G197" i="5"/>
  <c r="F197" i="5"/>
  <c r="E197" i="5"/>
  <c r="D197" i="5"/>
  <c r="G186" i="5"/>
  <c r="F186" i="5"/>
  <c r="E186" i="5"/>
  <c r="K340" i="5" s="1"/>
  <c r="D186" i="5"/>
  <c r="J340" i="5" s="1"/>
  <c r="G156" i="5"/>
  <c r="F156" i="5"/>
  <c r="E156" i="5"/>
  <c r="D156" i="5"/>
  <c r="G150" i="5"/>
  <c r="F150" i="5"/>
  <c r="E150" i="5"/>
  <c r="D150" i="5"/>
  <c r="G141" i="5"/>
  <c r="F141" i="5"/>
  <c r="E141" i="5"/>
  <c r="D141" i="5"/>
  <c r="G130" i="5"/>
  <c r="F130" i="5"/>
  <c r="E130" i="5"/>
  <c r="D130" i="5"/>
  <c r="G120" i="5"/>
  <c r="F120" i="5"/>
  <c r="E120" i="5"/>
  <c r="D120" i="5"/>
  <c r="G104" i="5"/>
  <c r="F104" i="5"/>
  <c r="E104" i="5"/>
  <c r="D104" i="5"/>
  <c r="G60" i="5"/>
  <c r="F60" i="5"/>
  <c r="E60" i="5"/>
  <c r="D60" i="5"/>
  <c r="G49" i="5"/>
  <c r="F49" i="5"/>
  <c r="E49" i="5"/>
  <c r="D49" i="5"/>
  <c r="G39" i="5"/>
  <c r="F39" i="5"/>
  <c r="E39" i="5"/>
  <c r="D39" i="5"/>
  <c r="G11" i="5"/>
  <c r="F11" i="5"/>
  <c r="E11" i="5"/>
  <c r="D11" i="5"/>
  <c r="F14" i="1" l="1"/>
  <c r="D14" i="1"/>
  <c r="E14" i="1"/>
  <c r="G14" i="1"/>
  <c r="L339" i="5"/>
  <c r="L340" i="5"/>
  <c r="M339" i="5"/>
  <c r="M340" i="5"/>
  <c r="J338" i="5"/>
  <c r="J339" i="5"/>
  <c r="K338" i="5"/>
  <c r="K339" i="5"/>
  <c r="L337" i="5"/>
  <c r="L338" i="5"/>
  <c r="M337" i="5"/>
  <c r="M338" i="5"/>
  <c r="J336" i="5"/>
  <c r="J337" i="5"/>
  <c r="K336" i="5"/>
  <c r="K337" i="5"/>
  <c r="L335" i="5"/>
  <c r="L336" i="5"/>
  <c r="M335" i="5"/>
  <c r="M336" i="5"/>
  <c r="J320" i="5"/>
  <c r="J335" i="5"/>
  <c r="K320" i="5"/>
  <c r="K335" i="5"/>
  <c r="L319" i="5"/>
  <c r="L320" i="5"/>
  <c r="M319" i="5"/>
  <c r="M320" i="5"/>
  <c r="J318" i="5"/>
  <c r="J319" i="5"/>
  <c r="K318" i="5"/>
  <c r="K319" i="5"/>
  <c r="L317" i="5"/>
  <c r="L318" i="5"/>
  <c r="M317" i="5"/>
  <c r="M318" i="5"/>
  <c r="J316" i="5"/>
  <c r="J317" i="5"/>
  <c r="K316" i="5"/>
  <c r="K317" i="5"/>
  <c r="L315" i="5"/>
  <c r="L316" i="5"/>
  <c r="M315" i="5"/>
  <c r="M316" i="5"/>
  <c r="J314" i="5"/>
  <c r="J315" i="5"/>
  <c r="K314" i="5"/>
  <c r="K315" i="5"/>
  <c r="L313" i="5"/>
  <c r="L314" i="5"/>
  <c r="M313" i="5"/>
  <c r="M314" i="5"/>
  <c r="J312" i="5"/>
  <c r="J313" i="5"/>
  <c r="K312" i="5"/>
  <c r="K313" i="5"/>
  <c r="L283" i="5"/>
  <c r="L312" i="5"/>
  <c r="M283" i="5"/>
  <c r="M312" i="5"/>
  <c r="J282" i="5"/>
  <c r="J283" i="5"/>
  <c r="K282" i="5"/>
  <c r="K283" i="5"/>
  <c r="M281" i="5"/>
  <c r="M282" i="5"/>
  <c r="L281" i="5"/>
  <c r="L282" i="5"/>
  <c r="J280" i="5"/>
  <c r="J281" i="5"/>
  <c r="K280" i="5"/>
  <c r="K281" i="5"/>
  <c r="L279" i="5"/>
  <c r="L280" i="5"/>
  <c r="M279" i="5"/>
  <c r="M280" i="5"/>
  <c r="J278" i="5"/>
  <c r="J279" i="5"/>
  <c r="K278" i="5"/>
  <c r="K279" i="5"/>
  <c r="L277" i="5"/>
  <c r="L278" i="5"/>
  <c r="M277" i="5"/>
  <c r="M278" i="5"/>
  <c r="J276" i="5"/>
  <c r="J277" i="5"/>
  <c r="K276" i="5"/>
  <c r="K277" i="5"/>
  <c r="M275" i="5"/>
  <c r="M276" i="5"/>
  <c r="L275" i="5"/>
  <c r="L276" i="5"/>
  <c r="J274" i="5"/>
  <c r="J275" i="5"/>
  <c r="K274" i="5"/>
  <c r="K275" i="5"/>
  <c r="L273" i="5"/>
  <c r="L274" i="5"/>
  <c r="M273" i="5"/>
  <c r="M274" i="5"/>
  <c r="J272" i="5"/>
  <c r="J273" i="5"/>
  <c r="K272" i="5"/>
  <c r="K273" i="5"/>
  <c r="L271" i="5"/>
  <c r="L272" i="5"/>
  <c r="M271" i="5"/>
  <c r="M272" i="5"/>
  <c r="J270" i="5"/>
  <c r="J271" i="5"/>
  <c r="K270" i="5"/>
  <c r="K271" i="5"/>
  <c r="L269" i="5"/>
  <c r="L270" i="5"/>
  <c r="M269" i="5"/>
  <c r="M270" i="5"/>
  <c r="J268" i="5"/>
  <c r="J269" i="5"/>
  <c r="K268" i="5"/>
  <c r="K269" i="5"/>
  <c r="L259" i="5"/>
  <c r="L268" i="5"/>
  <c r="M259" i="5"/>
  <c r="M268" i="5"/>
  <c r="J286" i="5"/>
  <c r="P286" i="5"/>
  <c r="K286" i="5"/>
  <c r="Q286" i="5"/>
  <c r="L286" i="5"/>
  <c r="P323" i="5"/>
  <c r="K323" i="5"/>
  <c r="Q323" i="5"/>
  <c r="L323" i="5"/>
  <c r="R323" i="5"/>
  <c r="M323" i="5"/>
  <c r="R286" i="5"/>
  <c r="M286" i="5"/>
  <c r="J326" i="5"/>
  <c r="J334" i="5"/>
  <c r="J264" i="5"/>
  <c r="J327" i="5"/>
  <c r="J263" i="5"/>
  <c r="J324" i="5"/>
  <c r="J295" i="5"/>
  <c r="J305" i="5"/>
  <c r="J331" i="5"/>
  <c r="J267" i="5"/>
  <c r="J291" i="5"/>
  <c r="J303" i="5"/>
  <c r="J309" i="5"/>
  <c r="J328" i="5"/>
  <c r="J288" i="5"/>
  <c r="J290" i="5"/>
  <c r="J292" i="5"/>
  <c r="J294" i="5"/>
  <c r="J296" i="5"/>
  <c r="J298" i="5"/>
  <c r="J300" i="5"/>
  <c r="J302" i="5"/>
  <c r="J304" i="5"/>
  <c r="J306" i="5"/>
  <c r="J308" i="5"/>
  <c r="J310" i="5"/>
  <c r="J321" i="5"/>
  <c r="J262" i="5"/>
  <c r="J341" i="5"/>
  <c r="J287" i="5"/>
  <c r="J297" i="5"/>
  <c r="J329" i="5"/>
  <c r="J325" i="5"/>
  <c r="J333" i="5"/>
  <c r="J265" i="5"/>
  <c r="J332" i="5"/>
  <c r="J289" i="5"/>
  <c r="J299" i="5"/>
  <c r="J311" i="5"/>
  <c r="J261" i="5"/>
  <c r="J330" i="5"/>
  <c r="J284" i="5"/>
  <c r="J260" i="5"/>
  <c r="J293" i="5"/>
  <c r="J301" i="5"/>
  <c r="J307" i="5"/>
  <c r="J266" i="5"/>
  <c r="J259" i="5"/>
  <c r="K329" i="5"/>
  <c r="K267" i="5"/>
  <c r="K341" i="5"/>
  <c r="K261" i="5"/>
  <c r="K293" i="5"/>
  <c r="K301" i="5"/>
  <c r="K259" i="5"/>
  <c r="K326" i="5"/>
  <c r="K334" i="5"/>
  <c r="K262" i="5"/>
  <c r="K266" i="5"/>
  <c r="K324" i="5"/>
  <c r="K287" i="5"/>
  <c r="K295" i="5"/>
  <c r="K303" i="5"/>
  <c r="K311" i="5"/>
  <c r="K331" i="5"/>
  <c r="K265" i="5"/>
  <c r="K297" i="5"/>
  <c r="K309" i="5"/>
  <c r="K264" i="5"/>
  <c r="K328" i="5"/>
  <c r="K288" i="5"/>
  <c r="K290" i="5"/>
  <c r="K292" i="5"/>
  <c r="K294" i="5"/>
  <c r="K296" i="5"/>
  <c r="K298" i="5"/>
  <c r="K300" i="5"/>
  <c r="K302" i="5"/>
  <c r="K304" i="5"/>
  <c r="K306" i="5"/>
  <c r="K308" i="5"/>
  <c r="K310" i="5"/>
  <c r="K321" i="5"/>
  <c r="K284" i="5"/>
  <c r="K260" i="5"/>
  <c r="K330" i="5"/>
  <c r="K291" i="5"/>
  <c r="K305" i="5"/>
  <c r="K325" i="5"/>
  <c r="K333" i="5"/>
  <c r="K263" i="5"/>
  <c r="K327" i="5"/>
  <c r="K332" i="5"/>
  <c r="K289" i="5"/>
  <c r="K299" i="5"/>
  <c r="K307" i="5"/>
  <c r="L324" i="5"/>
  <c r="L332" i="5"/>
  <c r="L287" i="5"/>
  <c r="L289" i="5"/>
  <c r="L291" i="5"/>
  <c r="L293" i="5"/>
  <c r="L295" i="5"/>
  <c r="L297" i="5"/>
  <c r="L299" i="5"/>
  <c r="L301" i="5"/>
  <c r="L303" i="5"/>
  <c r="L305" i="5"/>
  <c r="L307" i="5"/>
  <c r="L309" i="5"/>
  <c r="L311" i="5"/>
  <c r="L262" i="5"/>
  <c r="L327" i="5"/>
  <c r="L267" i="5"/>
  <c r="L329" i="5"/>
  <c r="L265" i="5"/>
  <c r="L333" i="5"/>
  <c r="L330" i="5"/>
  <c r="L264" i="5"/>
  <c r="L326" i="5"/>
  <c r="L334" i="5"/>
  <c r="L284" i="5"/>
  <c r="L260" i="5"/>
  <c r="L325" i="5"/>
  <c r="L331" i="5"/>
  <c r="L263" i="5"/>
  <c r="L341" i="5"/>
  <c r="L328" i="5"/>
  <c r="L288" i="5"/>
  <c r="L290" i="5"/>
  <c r="L292" i="5"/>
  <c r="L294" i="5"/>
  <c r="L296" i="5"/>
  <c r="L298" i="5"/>
  <c r="L300" i="5"/>
  <c r="L302" i="5"/>
  <c r="L304" i="5"/>
  <c r="L306" i="5"/>
  <c r="L308" i="5"/>
  <c r="L310" i="5"/>
  <c r="L321" i="5"/>
  <c r="L266" i="5"/>
  <c r="L261" i="5"/>
  <c r="M327" i="5"/>
  <c r="M341" i="5"/>
  <c r="M265" i="5"/>
  <c r="M296" i="5"/>
  <c r="M321" i="5"/>
  <c r="M324" i="5"/>
  <c r="M332" i="5"/>
  <c r="M287" i="5"/>
  <c r="M289" i="5"/>
  <c r="M291" i="5"/>
  <c r="M293" i="5"/>
  <c r="M295" i="5"/>
  <c r="M297" i="5"/>
  <c r="M299" i="5"/>
  <c r="M301" i="5"/>
  <c r="M303" i="5"/>
  <c r="M305" i="5"/>
  <c r="M307" i="5"/>
  <c r="M309" i="5"/>
  <c r="M311" i="5"/>
  <c r="M284" i="5"/>
  <c r="M260" i="5"/>
  <c r="M328" i="5"/>
  <c r="M294" i="5"/>
  <c r="M302" i="5"/>
  <c r="M310" i="5"/>
  <c r="M330" i="5"/>
  <c r="M262" i="5"/>
  <c r="M329" i="5"/>
  <c r="M263" i="5"/>
  <c r="M290" i="5"/>
  <c r="M298" i="5"/>
  <c r="M306" i="5"/>
  <c r="M264" i="5"/>
  <c r="M326" i="5"/>
  <c r="M334" i="5"/>
  <c r="M266" i="5"/>
  <c r="M288" i="5"/>
  <c r="M300" i="5"/>
  <c r="M308" i="5"/>
  <c r="M325" i="5"/>
  <c r="M267" i="5"/>
  <c r="M331" i="5"/>
  <c r="M261" i="5"/>
  <c r="M292" i="5"/>
  <c r="M304" i="5"/>
  <c r="M333" i="5"/>
  <c r="J323" i="5"/>
  <c r="G6" i="1"/>
  <c r="F342" i="5"/>
  <c r="D17" i="2"/>
  <c r="G21" i="1"/>
  <c r="G11" i="2"/>
  <c r="G16" i="2"/>
  <c r="G18" i="2"/>
  <c r="G21" i="2"/>
  <c r="G23" i="2"/>
  <c r="G24" i="2"/>
  <c r="G25" i="2"/>
  <c r="G28" i="2"/>
  <c r="G29" i="2"/>
  <c r="F18" i="1"/>
  <c r="G17" i="2"/>
  <c r="D30" i="2"/>
  <c r="D8" i="2"/>
  <c r="D20" i="1"/>
  <c r="D17" i="1"/>
  <c r="D21" i="1"/>
  <c r="E18" i="1"/>
  <c r="E12" i="2"/>
  <c r="E17" i="2"/>
  <c r="F8" i="2"/>
  <c r="F17" i="1"/>
  <c r="E8" i="11" s="1"/>
  <c r="D12" i="2"/>
  <c r="D19" i="2"/>
  <c r="G8" i="2"/>
  <c r="D18" i="1"/>
  <c r="F11" i="2"/>
  <c r="F16" i="2"/>
  <c r="F18" i="2"/>
  <c r="F21" i="2"/>
  <c r="F23" i="2"/>
  <c r="F24" i="2"/>
  <c r="F25" i="2"/>
  <c r="F28" i="2"/>
  <c r="F29" i="2"/>
  <c r="G30" i="2"/>
  <c r="G31" i="2"/>
  <c r="G12" i="2"/>
  <c r="G19" i="2"/>
  <c r="F12" i="2"/>
  <c r="F17" i="2"/>
  <c r="F22" i="2"/>
  <c r="E17" i="1"/>
  <c r="D8" i="11" s="1"/>
  <c r="E19" i="2"/>
  <c r="F20" i="1"/>
  <c r="G20" i="1"/>
  <c r="E11" i="2"/>
  <c r="E16" i="2"/>
  <c r="E18" i="2"/>
  <c r="E21" i="2"/>
  <c r="E23" i="2"/>
  <c r="E24" i="2"/>
  <c r="E25" i="2"/>
  <c r="E28" i="2"/>
  <c r="E29" i="2"/>
  <c r="F30" i="2"/>
  <c r="F31" i="2"/>
  <c r="G22" i="2"/>
  <c r="D31" i="2"/>
  <c r="F19" i="2"/>
  <c r="E8" i="2"/>
  <c r="E20" i="1"/>
  <c r="E21" i="1"/>
  <c r="E22" i="2"/>
  <c r="F21" i="1"/>
  <c r="D22" i="2"/>
  <c r="G17" i="1"/>
  <c r="F8" i="11" s="1"/>
  <c r="G18" i="1"/>
  <c r="D11" i="2"/>
  <c r="D16" i="2"/>
  <c r="D18" i="2"/>
  <c r="D21" i="2"/>
  <c r="D23" i="2"/>
  <c r="D24" i="2"/>
  <c r="D25" i="2"/>
  <c r="D28" i="2"/>
  <c r="D29" i="2"/>
  <c r="E30" i="2"/>
  <c r="E31" i="2"/>
  <c r="E6" i="1"/>
  <c r="D6" i="1"/>
  <c r="F6" i="1"/>
  <c r="D342" i="5"/>
  <c r="E342" i="5"/>
  <c r="G342" i="5"/>
  <c r="H14" i="12"/>
  <c r="C141" i="5"/>
  <c r="C22" i="2" s="1"/>
  <c r="E11" i="11" l="1"/>
  <c r="Q342" i="5"/>
  <c r="L342" i="5"/>
  <c r="M342" i="5"/>
  <c r="R342" i="5"/>
  <c r="J342" i="5"/>
  <c r="P342" i="5"/>
  <c r="K342" i="5"/>
  <c r="F13" i="2"/>
  <c r="D11" i="11"/>
  <c r="D13" i="2"/>
  <c r="E26" i="2"/>
  <c r="E10" i="11"/>
  <c r="G26" i="2"/>
  <c r="F32" i="2"/>
  <c r="D26" i="2"/>
  <c r="D10" i="11"/>
  <c r="E13" i="2"/>
  <c r="F11" i="11"/>
  <c r="G13" i="2"/>
  <c r="E32" i="2"/>
  <c r="G32" i="2"/>
  <c r="F26" i="2"/>
  <c r="F10" i="11"/>
  <c r="D32" i="2"/>
  <c r="C255" i="5"/>
  <c r="C21" i="1" s="1"/>
  <c r="C156" i="5"/>
  <c r="C17" i="2" s="1"/>
  <c r="F5" i="11"/>
  <c r="F13" i="11"/>
  <c r="L5" i="1"/>
  <c r="P5" i="1" s="1"/>
  <c r="C234" i="5"/>
  <c r="F33" i="2" l="1"/>
  <c r="F34" i="2" s="1"/>
  <c r="D33" i="2"/>
  <c r="D34" i="2" s="1"/>
  <c r="E33" i="2"/>
  <c r="E34" i="2" s="1"/>
  <c r="G33" i="2"/>
  <c r="G34" i="2" s="1"/>
  <c r="F15" i="11"/>
  <c r="B2" i="11" l="1"/>
  <c r="B2" i="2"/>
  <c r="C166" i="5"/>
  <c r="C130" i="5"/>
  <c r="C120" i="5"/>
  <c r="C104" i="5"/>
  <c r="C85" i="5"/>
  <c r="C49" i="5"/>
  <c r="C60" i="5"/>
  <c r="C39" i="5"/>
  <c r="C11" i="5"/>
  <c r="C323" i="5"/>
  <c r="C245" i="5"/>
  <c r="C226" i="5"/>
  <c r="C14" i="1" s="1"/>
  <c r="C205" i="5"/>
  <c r="C186" i="5"/>
  <c r="I340" i="5" s="1"/>
  <c r="I338" i="5" l="1"/>
  <c r="I339" i="5"/>
  <c r="I336" i="5"/>
  <c r="I337" i="5"/>
  <c r="I320" i="5"/>
  <c r="I335" i="5"/>
  <c r="I318" i="5"/>
  <c r="I319" i="5"/>
  <c r="I316" i="5"/>
  <c r="I317" i="5"/>
  <c r="I314" i="5"/>
  <c r="I315" i="5"/>
  <c r="I312" i="5"/>
  <c r="I313" i="5"/>
  <c r="I282" i="5"/>
  <c r="I283" i="5"/>
  <c r="I280" i="5"/>
  <c r="I281" i="5"/>
  <c r="I278" i="5"/>
  <c r="I279" i="5"/>
  <c r="I276" i="5"/>
  <c r="I277" i="5"/>
  <c r="I274" i="5"/>
  <c r="I275" i="5"/>
  <c r="I272" i="5"/>
  <c r="I273" i="5"/>
  <c r="I270" i="5"/>
  <c r="I271" i="5"/>
  <c r="I268" i="5"/>
  <c r="I269" i="5"/>
  <c r="I331" i="5"/>
  <c r="I289" i="5"/>
  <c r="I297" i="5"/>
  <c r="I305" i="5"/>
  <c r="I261" i="5"/>
  <c r="I329" i="5"/>
  <c r="I311" i="5"/>
  <c r="I334" i="5"/>
  <c r="I288" i="5"/>
  <c r="I328" i="5"/>
  <c r="I290" i="5"/>
  <c r="I298" i="5"/>
  <c r="I306" i="5"/>
  <c r="I264" i="5"/>
  <c r="I324" i="5"/>
  <c r="I295" i="5"/>
  <c r="I326" i="5"/>
  <c r="I304" i="5"/>
  <c r="I325" i="5"/>
  <c r="I333" i="5"/>
  <c r="I291" i="5"/>
  <c r="I299" i="5"/>
  <c r="I307" i="5"/>
  <c r="I267" i="5"/>
  <c r="I332" i="5"/>
  <c r="I302" i="5"/>
  <c r="I287" i="5"/>
  <c r="I263" i="5"/>
  <c r="I330" i="5"/>
  <c r="I292" i="5"/>
  <c r="I300" i="5"/>
  <c r="I308" i="5"/>
  <c r="I262" i="5"/>
  <c r="I310" i="5"/>
  <c r="I260" i="5"/>
  <c r="I321" i="5"/>
  <c r="I327" i="5"/>
  <c r="I341" i="5"/>
  <c r="I293" i="5"/>
  <c r="I301" i="5"/>
  <c r="I309" i="5"/>
  <c r="I265" i="5"/>
  <c r="I294" i="5"/>
  <c r="I284" i="5"/>
  <c r="I303" i="5"/>
  <c r="I296" i="5"/>
  <c r="I266" i="5"/>
  <c r="I259" i="5"/>
  <c r="I323" i="5"/>
  <c r="O323" i="5"/>
  <c r="C286" i="5"/>
  <c r="I286" i="5" l="1"/>
  <c r="O286" i="5"/>
  <c r="C342" i="5"/>
  <c r="C177" i="5"/>
  <c r="B2" i="5"/>
  <c r="B4" i="11"/>
  <c r="B4" i="5"/>
  <c r="I342" i="5" l="1"/>
  <c r="O342" i="5"/>
  <c r="B4" i="2"/>
  <c r="G10" i="1" l="1"/>
  <c r="G11" i="1"/>
  <c r="G12" i="1"/>
  <c r="G15" i="1"/>
  <c r="C10" i="1"/>
  <c r="F10" i="1"/>
  <c r="E10" i="1"/>
  <c r="D10" i="1"/>
  <c r="F12" i="1"/>
  <c r="D12" i="1"/>
  <c r="F11" i="1"/>
  <c r="C30" i="2"/>
  <c r="C11" i="2"/>
  <c r="C12" i="1"/>
  <c r="C16" i="2"/>
  <c r="E12" i="1"/>
  <c r="D11" i="1"/>
  <c r="E11" i="1"/>
  <c r="C18" i="2"/>
  <c r="C12" i="2"/>
  <c r="C11" i="1"/>
  <c r="D15" i="1"/>
  <c r="C15" i="1"/>
  <c r="E15" i="1"/>
  <c r="F15" i="1"/>
  <c r="C18" i="1"/>
  <c r="C8" i="2"/>
  <c r="C17" i="1"/>
  <c r="C25" i="2"/>
  <c r="D34" i="11"/>
  <c r="C28" i="2"/>
  <c r="E9" i="1" l="1"/>
  <c r="F28" i="11"/>
  <c r="D9" i="1"/>
  <c r="C9" i="1"/>
  <c r="G9" i="1"/>
  <c r="F9" i="1"/>
  <c r="F16" i="11"/>
  <c r="F27" i="11"/>
  <c r="F19" i="11"/>
  <c r="E34" i="11"/>
  <c r="F31" i="11"/>
  <c r="D15" i="11"/>
  <c r="P17" i="1"/>
  <c r="P15" i="1"/>
  <c r="P14" i="1"/>
  <c r="P11" i="1"/>
  <c r="P10" i="1"/>
  <c r="P12" i="1"/>
  <c r="P18" i="1"/>
  <c r="G7" i="1"/>
  <c r="E15" i="11"/>
  <c r="O18" i="1"/>
  <c r="C15" i="11"/>
  <c r="O17" i="1"/>
  <c r="N15" i="1"/>
  <c r="O14" i="1"/>
  <c r="N12" i="1"/>
  <c r="N18" i="1"/>
  <c r="O10" i="1"/>
  <c r="O11" i="1"/>
  <c r="M18" i="1"/>
  <c r="N11" i="1"/>
  <c r="O12" i="1"/>
  <c r="M14" i="1"/>
  <c r="M10" i="1"/>
  <c r="M15" i="1"/>
  <c r="M17" i="1"/>
  <c r="N10" i="1"/>
  <c r="N14" i="1"/>
  <c r="N17" i="1"/>
  <c r="O15" i="1"/>
  <c r="M11" i="1"/>
  <c r="M12" i="1"/>
  <c r="C23" i="11"/>
  <c r="E23" i="11"/>
  <c r="D13" i="11"/>
  <c r="C27" i="11"/>
  <c r="C13" i="2"/>
  <c r="C19" i="11"/>
  <c r="E22" i="11"/>
  <c r="D19" i="11"/>
  <c r="E19" i="11"/>
  <c r="D28" i="11"/>
  <c r="E28" i="11"/>
  <c r="E27" i="11"/>
  <c r="C13" i="11"/>
  <c r="D27" i="11"/>
  <c r="C28" i="11"/>
  <c r="D22" i="11"/>
  <c r="C22" i="11"/>
  <c r="D23" i="11"/>
  <c r="E13" i="11"/>
  <c r="C34" i="11"/>
  <c r="C12" i="11"/>
  <c r="D12" i="11"/>
  <c r="E12" i="11"/>
  <c r="P21" i="1"/>
  <c r="C21" i="2"/>
  <c r="H18" i="12" l="1"/>
  <c r="G13" i="1"/>
  <c r="L13" i="1" s="1"/>
  <c r="L20" i="1"/>
  <c r="H16" i="12"/>
  <c r="H19" i="12"/>
  <c r="L17" i="1"/>
  <c r="L6" i="1"/>
  <c r="L18" i="1"/>
  <c r="L12" i="1"/>
  <c r="L9" i="1"/>
  <c r="L10" i="1"/>
  <c r="L21" i="1"/>
  <c r="L7" i="1"/>
  <c r="L11" i="1"/>
  <c r="L14" i="1"/>
  <c r="L15" i="1"/>
  <c r="P9" i="1"/>
  <c r="M21" i="1"/>
  <c r="M9" i="1"/>
  <c r="O21" i="1"/>
  <c r="N9" i="1"/>
  <c r="N21" i="1"/>
  <c r="O9" i="1"/>
  <c r="C24" i="2"/>
  <c r="G16" i="1" l="1"/>
  <c r="L16" i="1" s="1"/>
  <c r="H9" i="12" s="1"/>
  <c r="C6" i="1"/>
  <c r="F18" i="11"/>
  <c r="C70" i="5"/>
  <c r="C31" i="2" s="1"/>
  <c r="G19" i="1" l="1"/>
  <c r="P6" i="1"/>
  <c r="M6" i="1"/>
  <c r="N6" i="1"/>
  <c r="O6" i="1"/>
  <c r="D7" i="1"/>
  <c r="E7" i="1"/>
  <c r="C7" i="1"/>
  <c r="F7" i="1"/>
  <c r="E5" i="11"/>
  <c r="D5" i="11"/>
  <c r="C150" i="5"/>
  <c r="C19" i="2" s="1"/>
  <c r="K5" i="1"/>
  <c r="O5" i="1" s="1"/>
  <c r="F13" i="1" l="1"/>
  <c r="C13" i="1"/>
  <c r="E13" i="1"/>
  <c r="D13" i="1"/>
  <c r="E6" i="12"/>
  <c r="E16" i="12"/>
  <c r="E18" i="12"/>
  <c r="E15" i="12"/>
  <c r="F14" i="11"/>
  <c r="G17" i="12"/>
  <c r="F17" i="11"/>
  <c r="G19" i="12"/>
  <c r="H6" i="1"/>
  <c r="D6" i="12"/>
  <c r="D16" i="12"/>
  <c r="D18" i="12"/>
  <c r="D15" i="12"/>
  <c r="F16" i="12"/>
  <c r="F6" i="12"/>
  <c r="F18" i="12"/>
  <c r="F15" i="12"/>
  <c r="G6" i="12"/>
  <c r="G16" i="12"/>
  <c r="G18" i="12"/>
  <c r="G15" i="12"/>
  <c r="L19" i="1"/>
  <c r="H10" i="12" s="1"/>
  <c r="G22" i="1"/>
  <c r="D8" i="1"/>
  <c r="I21" i="1"/>
  <c r="I7" i="1"/>
  <c r="I12" i="1"/>
  <c r="I14" i="1"/>
  <c r="I15" i="1"/>
  <c r="I17" i="1"/>
  <c r="I18" i="1"/>
  <c r="I10" i="1"/>
  <c r="I11" i="1"/>
  <c r="I9" i="1"/>
  <c r="I6" i="1"/>
  <c r="P20" i="1"/>
  <c r="K20" i="1"/>
  <c r="K21" i="1"/>
  <c r="K7" i="1"/>
  <c r="F8" i="1"/>
  <c r="K10" i="1"/>
  <c r="K12" i="1"/>
  <c r="K17" i="1"/>
  <c r="K15" i="1"/>
  <c r="K18" i="1"/>
  <c r="K11" i="1"/>
  <c r="K14" i="1"/>
  <c r="G8" i="1"/>
  <c r="K9" i="1"/>
  <c r="K6" i="1"/>
  <c r="H7" i="1"/>
  <c r="H21" i="1"/>
  <c r="H14" i="1"/>
  <c r="H18" i="1"/>
  <c r="H17" i="1"/>
  <c r="H10" i="1"/>
  <c r="H12" i="1"/>
  <c r="H11" i="1"/>
  <c r="H15" i="1"/>
  <c r="H9" i="1"/>
  <c r="J21" i="1"/>
  <c r="J7" i="1"/>
  <c r="E8" i="1"/>
  <c r="J11" i="1"/>
  <c r="J12" i="1"/>
  <c r="J15" i="1"/>
  <c r="J14" i="1"/>
  <c r="J17" i="1"/>
  <c r="J18" i="1"/>
  <c r="J10" i="1"/>
  <c r="J9" i="1"/>
  <c r="J6" i="1"/>
  <c r="P7" i="1"/>
  <c r="O7" i="1"/>
  <c r="N7" i="1"/>
  <c r="M7" i="1"/>
  <c r="G14" i="12"/>
  <c r="F17" i="12"/>
  <c r="C5" i="11"/>
  <c r="H5" i="1"/>
  <c r="I5" i="1"/>
  <c r="M5" i="1" s="1"/>
  <c r="J5" i="1"/>
  <c r="N5" i="1" s="1"/>
  <c r="E19" i="12"/>
  <c r="F19" i="12"/>
  <c r="C29" i="2"/>
  <c r="D19" i="12" s="1"/>
  <c r="C23" i="2"/>
  <c r="D17" i="12" s="1"/>
  <c r="E17" i="12"/>
  <c r="C197" i="5"/>
  <c r="C20" i="1" s="1"/>
  <c r="H20" i="1" s="1"/>
  <c r="I20" i="1"/>
  <c r="J20" i="1"/>
  <c r="G25" i="1" l="1"/>
  <c r="G20" i="5"/>
  <c r="F7" i="11"/>
  <c r="F9" i="11" s="1"/>
  <c r="G4" i="12"/>
  <c r="F20" i="12"/>
  <c r="G20" i="12"/>
  <c r="D20" i="12"/>
  <c r="E20" i="12"/>
  <c r="L22" i="1"/>
  <c r="M20" i="1"/>
  <c r="N20" i="1"/>
  <c r="O20" i="1"/>
  <c r="C26" i="2"/>
  <c r="C32" i="2"/>
  <c r="E14" i="11"/>
  <c r="D14" i="11"/>
  <c r="C14" i="11"/>
  <c r="F14" i="12"/>
  <c r="D4" i="12" l="1"/>
  <c r="G22" i="12"/>
  <c r="P13" i="1"/>
  <c r="K13" i="1"/>
  <c r="C33" i="2"/>
  <c r="D22" i="12" s="1"/>
  <c r="F16" i="1"/>
  <c r="P16" i="1" l="1"/>
  <c r="K16" i="1"/>
  <c r="G9" i="12" s="1"/>
  <c r="C34" i="2"/>
  <c r="F19" i="1"/>
  <c r="P19" i="1" l="1"/>
  <c r="K19" i="1"/>
  <c r="G10" i="12" s="1"/>
  <c r="F22" i="1"/>
  <c r="E18" i="11"/>
  <c r="F20" i="5" l="1"/>
  <c r="E7" i="11"/>
  <c r="E9" i="11" s="1"/>
  <c r="P22" i="1"/>
  <c r="K22" i="1"/>
  <c r="F25" i="1"/>
  <c r="E16" i="11" l="1"/>
  <c r="C8" i="11"/>
  <c r="E17" i="11" l="1"/>
  <c r="E24" i="11"/>
  <c r="E31" i="11"/>
  <c r="D18" i="11"/>
  <c r="D24" i="11"/>
  <c r="D17" i="11"/>
  <c r="C24" i="11"/>
  <c r="C17" i="11"/>
  <c r="C11" i="11"/>
  <c r="F22" i="12" l="1"/>
  <c r="F4" i="12"/>
  <c r="J13" i="1"/>
  <c r="D16" i="11"/>
  <c r="C16" i="11"/>
  <c r="E22" i="12" l="1"/>
  <c r="E4" i="12"/>
  <c r="O13" i="1"/>
  <c r="E20" i="11"/>
  <c r="E16" i="1"/>
  <c r="J16" i="1" s="1"/>
  <c r="D31" i="11"/>
  <c r="O16" i="1" l="1"/>
  <c r="E19" i="1"/>
  <c r="F9" i="12"/>
  <c r="J19" i="1" l="1"/>
  <c r="F10" i="12" s="1"/>
  <c r="O19" i="1"/>
  <c r="E22" i="1"/>
  <c r="E14" i="12"/>
  <c r="J22" i="1" l="1"/>
  <c r="E20" i="5"/>
  <c r="D7" i="11"/>
  <c r="D9" i="11" s="1"/>
  <c r="O22" i="1"/>
  <c r="E25" i="1"/>
  <c r="I13" i="1"/>
  <c r="N13" i="1" l="1"/>
  <c r="D16" i="1"/>
  <c r="I16" i="1" s="1"/>
  <c r="N16" i="1" l="1"/>
  <c r="D19" i="1"/>
  <c r="E9" i="12"/>
  <c r="C18" i="11"/>
  <c r="C31" i="11"/>
  <c r="I19" i="1" l="1"/>
  <c r="E10" i="12" s="1"/>
  <c r="N19" i="1"/>
  <c r="D22" i="1"/>
  <c r="I22" i="1" l="1"/>
  <c r="D20" i="5"/>
  <c r="M13" i="1"/>
  <c r="H13" i="1"/>
  <c r="N22" i="1"/>
  <c r="C16" i="1"/>
  <c r="M16" i="1" l="1"/>
  <c r="H16" i="1"/>
  <c r="D9" i="12" s="1"/>
  <c r="C19" i="1"/>
  <c r="M19" i="1" l="1"/>
  <c r="H19" i="1"/>
  <c r="D10" i="12" s="1"/>
  <c r="C22" i="1"/>
  <c r="C20" i="5" s="1"/>
  <c r="C21" i="5" s="1"/>
  <c r="D17" i="5" l="1"/>
  <c r="D21" i="5" s="1"/>
  <c r="C22" i="5"/>
  <c r="M22" i="1"/>
  <c r="H22" i="1"/>
  <c r="D25" i="1"/>
  <c r="D22" i="5" l="1"/>
  <c r="E17" i="5"/>
  <c r="E21" i="5" s="1"/>
  <c r="C25" i="1"/>
  <c r="C9" i="2"/>
  <c r="C10" i="2" s="1"/>
  <c r="E22" i="5" l="1"/>
  <c r="F17" i="5"/>
  <c r="F21" i="5" s="1"/>
  <c r="D8" i="12"/>
  <c r="D7" i="12"/>
  <c r="C14" i="2"/>
  <c r="C7" i="11"/>
  <c r="C9" i="11" s="1"/>
  <c r="F22" i="5" l="1"/>
  <c r="G17" i="5"/>
  <c r="G21" i="5" s="1"/>
  <c r="G22" i="5" s="1"/>
  <c r="G9" i="2" s="1"/>
  <c r="D9" i="2"/>
  <c r="D20" i="11" l="1"/>
  <c r="E9" i="2" l="1"/>
  <c r="C26" i="11"/>
  <c r="C29" i="11" s="1"/>
  <c r="D10" i="2"/>
  <c r="D14" i="2" s="1"/>
  <c r="D36" i="2" s="1"/>
  <c r="E7" i="12" l="1"/>
  <c r="E8" i="12"/>
  <c r="E10" i="2"/>
  <c r="E14" i="2" s="1"/>
  <c r="E36" i="2" s="1"/>
  <c r="D26" i="11"/>
  <c r="F7" i="12" l="1"/>
  <c r="F8" i="12"/>
  <c r="D29" i="11"/>
  <c r="D30" i="11" s="1"/>
  <c r="D32" i="11" s="1"/>
  <c r="D35" i="11" s="1"/>
  <c r="F9" i="2"/>
  <c r="F10" i="2" l="1"/>
  <c r="F14" i="2" s="1"/>
  <c r="F36" i="2" s="1"/>
  <c r="E26" i="11"/>
  <c r="C10" i="11"/>
  <c r="C20" i="11" s="1"/>
  <c r="G7" i="12" l="1"/>
  <c r="G8" i="12"/>
  <c r="E29" i="11"/>
  <c r="E30" i="11" s="1"/>
  <c r="E32" i="11" s="1"/>
  <c r="E35" i="11" s="1"/>
  <c r="C30" i="11"/>
  <c r="C32" i="11" s="1"/>
  <c r="C35" i="11" s="1"/>
  <c r="C36" i="2"/>
  <c r="F23" i="11" l="1"/>
  <c r="G10" i="2" l="1"/>
  <c r="G14" i="2" s="1"/>
  <c r="G36" i="2" s="1"/>
  <c r="F26" i="11"/>
  <c r="F29" i="11" s="1"/>
  <c r="F34" i="11"/>
  <c r="H15" i="12" l="1"/>
  <c r="F12" i="11"/>
  <c r="H17" i="12"/>
  <c r="F22" i="11"/>
  <c r="F24" i="11" s="1"/>
  <c r="H6" i="12"/>
  <c r="H8" i="12"/>
  <c r="H7" i="12"/>
  <c r="H20" i="12" l="1"/>
  <c r="F20" i="11"/>
  <c r="F30" i="11" s="1"/>
  <c r="F32" i="11" s="1"/>
  <c r="F35" i="11" s="1"/>
  <c r="H4" i="12"/>
  <c r="H22" i="1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<sst xmlns="http://schemas.openxmlformats.org/spreadsheetml/2006/main" count="379" uniqueCount="291">
  <si>
    <t>Income statement</t>
  </si>
  <si>
    <t>&lt;&lt;Do not delete&gt;&gt;</t>
  </si>
  <si>
    <t>INR million</t>
  </si>
  <si>
    <t>% to revenue</t>
  </si>
  <si>
    <t>% change y-o-y</t>
  </si>
  <si>
    <t>Particulars</t>
  </si>
  <si>
    <t>FY22</t>
  </si>
  <si>
    <t>FY23</t>
  </si>
  <si>
    <t>INR</t>
  </si>
  <si>
    <t>INR lakhs</t>
  </si>
  <si>
    <t>Total revenue</t>
  </si>
  <si>
    <t>Gross margin</t>
  </si>
  <si>
    <t>Employee benefit expense</t>
  </si>
  <si>
    <t>Other expenses</t>
  </si>
  <si>
    <t>Non operating income</t>
  </si>
  <si>
    <t>Depreciation</t>
  </si>
  <si>
    <t>Tax expense</t>
  </si>
  <si>
    <t>Current tax</t>
  </si>
  <si>
    <t>Deferred tax</t>
  </si>
  <si>
    <t>PAT</t>
  </si>
  <si>
    <t>As per financials</t>
  </si>
  <si>
    <t>Difference</t>
  </si>
  <si>
    <t xml:space="preserve">Balance sheet </t>
  </si>
  <si>
    <t>31 Mar 22</t>
  </si>
  <si>
    <t>Equity &amp; liabilities</t>
  </si>
  <si>
    <t>Shareholder's fund</t>
  </si>
  <si>
    <t>Share capital</t>
  </si>
  <si>
    <t>Reserves and surplus</t>
  </si>
  <si>
    <t>Net worth</t>
  </si>
  <si>
    <t>Trade payables</t>
  </si>
  <si>
    <t>Short term provisions</t>
  </si>
  <si>
    <t>Other current liabilities</t>
  </si>
  <si>
    <t>Current liabilities</t>
  </si>
  <si>
    <t>Total</t>
  </si>
  <si>
    <t>Assets</t>
  </si>
  <si>
    <t>Fixed assets</t>
  </si>
  <si>
    <t>Tangible assets</t>
  </si>
  <si>
    <t>Trade receivables</t>
  </si>
  <si>
    <t>Cash and cash equivalents</t>
  </si>
  <si>
    <t>Short term loan and advances</t>
  </si>
  <si>
    <t>Other current assets</t>
  </si>
  <si>
    <t>Current assets</t>
  </si>
  <si>
    <t>Check</t>
  </si>
  <si>
    <t>Cashflow statements</t>
  </si>
  <si>
    <t>Cashflow from operating activities</t>
  </si>
  <si>
    <t xml:space="preserve">Net profit after tax </t>
  </si>
  <si>
    <t>Operating profit before working capital changes</t>
  </si>
  <si>
    <t>(Increase)/decrease in receivables</t>
  </si>
  <si>
    <t>(Increase)/decrease in short term loans and advances</t>
  </si>
  <si>
    <t>(Increase)/decrease in other current assets</t>
  </si>
  <si>
    <t>Increase/(decrease) in trade payables</t>
  </si>
  <si>
    <t>Increase/(decrease) in other current liabilities</t>
  </si>
  <si>
    <t>Increase/(decrease) in short term provision</t>
  </si>
  <si>
    <t>Net cash from (used in) operating activities</t>
  </si>
  <si>
    <t>Cashflow from investing activities</t>
  </si>
  <si>
    <t>(Purchase)/sale of fixed assets</t>
  </si>
  <si>
    <t>Net cash from (used in) investing activities</t>
  </si>
  <si>
    <t>Cashflow from financing activities</t>
  </si>
  <si>
    <t>Net cash from (used in) financing activities</t>
  </si>
  <si>
    <t>Increase/(decrease) in cash and cash equivalents</t>
  </si>
  <si>
    <t>Opening cash and cash equivalents</t>
  </si>
  <si>
    <t>Closing cash and cash equivalents</t>
  </si>
  <si>
    <t>Notes to accounts</t>
  </si>
  <si>
    <t xml:space="preserve">Authorised </t>
  </si>
  <si>
    <t>Opening balance</t>
  </si>
  <si>
    <t>Closing balance</t>
  </si>
  <si>
    <t>Office equipments</t>
  </si>
  <si>
    <t>Long term loans &amp; advances</t>
  </si>
  <si>
    <t>Outstanding for a period more than six months</t>
  </si>
  <si>
    <t>Outstanding for a period less than six months</t>
  </si>
  <si>
    <t>Cash on hand</t>
  </si>
  <si>
    <t>Balances with banks</t>
  </si>
  <si>
    <t>Total cash and cash equivalents</t>
  </si>
  <si>
    <t/>
  </si>
  <si>
    <t>Short term loans and advances</t>
  </si>
  <si>
    <t>Balance with revenue authorities</t>
  </si>
  <si>
    <t>Other current asset</t>
  </si>
  <si>
    <t>Revenue from operations</t>
  </si>
  <si>
    <t>Sale of services</t>
  </si>
  <si>
    <t>Other income</t>
  </si>
  <si>
    <t>Employee benefit expenses</t>
  </si>
  <si>
    <t xml:space="preserve">Contribution to - </t>
  </si>
  <si>
    <t>Depreciation and amortization</t>
  </si>
  <si>
    <t>Audit fees</t>
  </si>
  <si>
    <t>Bank charges</t>
  </si>
  <si>
    <t>Insurance charges</t>
  </si>
  <si>
    <t>Office expenses</t>
  </si>
  <si>
    <t>Printing and stationery expenses</t>
  </si>
  <si>
    <t>Postage and courier expenses</t>
  </si>
  <si>
    <t>Key ratio analysis:</t>
  </si>
  <si>
    <t>Formula</t>
  </si>
  <si>
    <t>Current ratio</t>
  </si>
  <si>
    <t>Current assets/ current liabilities</t>
  </si>
  <si>
    <t>Current Ratio</t>
  </si>
  <si>
    <t>Fixed assets turnover ratio</t>
  </si>
  <si>
    <t>Total revenue/ total fixed assets</t>
  </si>
  <si>
    <t>Cash conversion cycle:</t>
  </si>
  <si>
    <t>Net cash conversion cycle</t>
  </si>
  <si>
    <t>Other payables</t>
  </si>
  <si>
    <t>Property, plant and equipments</t>
  </si>
  <si>
    <t xml:space="preserve">Fixed deposit </t>
  </si>
  <si>
    <t>Deferred tax liabilities</t>
  </si>
  <si>
    <t>Directors remuneration</t>
  </si>
  <si>
    <t>Co's contribution to PF</t>
  </si>
  <si>
    <t>Co's contribution to ESIC</t>
  </si>
  <si>
    <t>Admin. expenses</t>
  </si>
  <si>
    <t xml:space="preserve"> </t>
  </si>
  <si>
    <t>Commission</t>
  </si>
  <si>
    <t>Sale of goods</t>
  </si>
  <si>
    <t>Purchase of traded goods</t>
  </si>
  <si>
    <t>Change in inventories</t>
  </si>
  <si>
    <t>Opening stock</t>
  </si>
  <si>
    <t>Closing stock</t>
  </si>
  <si>
    <t>Co's contribution to other funds</t>
  </si>
  <si>
    <t>Salaries and wages</t>
  </si>
  <si>
    <t>Health/ Life insurance</t>
  </si>
  <si>
    <t>Workers and staff welfare</t>
  </si>
  <si>
    <t>Bonus paid</t>
  </si>
  <si>
    <t>Gratuity paid</t>
  </si>
  <si>
    <t>Gratuity provision</t>
  </si>
  <si>
    <t>Leave salary</t>
  </si>
  <si>
    <t>Finance cost</t>
  </si>
  <si>
    <t>Interest expenses</t>
  </si>
  <si>
    <t>To bank</t>
  </si>
  <si>
    <t>To unsecured loans</t>
  </si>
  <si>
    <t>Freight inward</t>
  </si>
  <si>
    <t>Foreign exchange fluctuation loss/ (gain)</t>
  </si>
  <si>
    <t>Insurance stock</t>
  </si>
  <si>
    <t>Packing expenses</t>
  </si>
  <si>
    <t>Donation</t>
  </si>
  <si>
    <t>Electricity expenses</t>
  </si>
  <si>
    <t>Fees &amp; taxes</t>
  </si>
  <si>
    <t>Festival celebration expenses</t>
  </si>
  <si>
    <t>Fine &amp; penalties</t>
  </si>
  <si>
    <t xml:space="preserve">Loss on sale of fixed asset </t>
  </si>
  <si>
    <t>Miscellaneous expenses</t>
  </si>
  <si>
    <t>Professional charges</t>
  </si>
  <si>
    <t>Rent</t>
  </si>
  <si>
    <t>Repair &amp; maintenance</t>
  </si>
  <si>
    <t>General</t>
  </si>
  <si>
    <t>Buildings</t>
  </si>
  <si>
    <t>Additional demand duties and taxes</t>
  </si>
  <si>
    <t>Software expenses</t>
  </si>
  <si>
    <t>Subscription/ Membership fees</t>
  </si>
  <si>
    <t>Stamps &amp; duties</t>
  </si>
  <si>
    <t>Telephone charges</t>
  </si>
  <si>
    <t>Travelling expenses foreign</t>
  </si>
  <si>
    <t>Vehicle running expenses</t>
  </si>
  <si>
    <t>Selling and distribution expenses</t>
  </si>
  <si>
    <t>Advertisement</t>
  </si>
  <si>
    <t>Business promotion</t>
  </si>
  <si>
    <t xml:space="preserve">Conference </t>
  </si>
  <si>
    <t>Freight &amp; cartage (outward)</t>
  </si>
  <si>
    <t xml:space="preserve">Schemes and samples </t>
  </si>
  <si>
    <t>DR/CR Amt. w/o</t>
  </si>
  <si>
    <t>Warranty &amp; replacement</t>
  </si>
  <si>
    <t>BIS &amp; Certification charges</t>
  </si>
  <si>
    <t>Purchase of stock in trade</t>
  </si>
  <si>
    <t>Changes in inventories of finished goods</t>
  </si>
  <si>
    <t>Direct expenses</t>
  </si>
  <si>
    <t>Issued, subscribed and paid up</t>
  </si>
  <si>
    <t>Securities premium</t>
  </si>
  <si>
    <t>Surplus</t>
  </si>
  <si>
    <t>Less: Income tax paid</t>
  </si>
  <si>
    <t>Long term provisions</t>
  </si>
  <si>
    <t>Provision for gratuity</t>
  </si>
  <si>
    <t>Long term borrowings</t>
  </si>
  <si>
    <t>Short term borrowings</t>
  </si>
  <si>
    <t>Long-term provisions</t>
  </si>
  <si>
    <t>Long-term borrowings</t>
  </si>
  <si>
    <t>Short-term provisions</t>
  </si>
  <si>
    <t>Short-term borrowings</t>
  </si>
  <si>
    <t>Secured loan from banks</t>
  </si>
  <si>
    <t>ICICI bank car loan a/c</t>
  </si>
  <si>
    <t xml:space="preserve">Sundry creditors for goods </t>
  </si>
  <si>
    <t xml:space="preserve">Sundry creditors for other than goods </t>
  </si>
  <si>
    <t>Advance from customers (Interest free)</t>
  </si>
  <si>
    <t>Current year's tax payable</t>
  </si>
  <si>
    <t>TDS &amp; TCS payable</t>
  </si>
  <si>
    <t>GST payable</t>
  </si>
  <si>
    <t>ESIC payable</t>
  </si>
  <si>
    <t>PF payable</t>
  </si>
  <si>
    <t>Leave encashment payable</t>
  </si>
  <si>
    <t>Security taken for service centre</t>
  </si>
  <si>
    <t>Electrical installation &amp; equipments</t>
  </si>
  <si>
    <t>Furniture &amp; fixtures</t>
  </si>
  <si>
    <t>Vehicles (cars)</t>
  </si>
  <si>
    <t>Vehicles (other)</t>
  </si>
  <si>
    <t>Computers</t>
  </si>
  <si>
    <t>Deferred tax assets (net)</t>
  </si>
  <si>
    <t>Long-term loans and advances</t>
  </si>
  <si>
    <t>Non-current investments</t>
  </si>
  <si>
    <t>Security deposits</t>
  </si>
  <si>
    <t>Inventories</t>
  </si>
  <si>
    <t>Advance paid to suppliers</t>
  </si>
  <si>
    <t xml:space="preserve">Advance tax </t>
  </si>
  <si>
    <t>Advance to employees</t>
  </si>
  <si>
    <t>Prepaid exp.</t>
  </si>
  <si>
    <t xml:space="preserve">Interest accrued </t>
  </si>
  <si>
    <t>Focus in hand</t>
  </si>
  <si>
    <t>Increase/(decrease) in long term provision</t>
  </si>
  <si>
    <t>Increase/(decrease) in long term borrowings</t>
  </si>
  <si>
    <t>Increase/(decrease) in short term borrowings</t>
  </si>
  <si>
    <t>(Increase)/decrease in non-current investment</t>
  </si>
  <si>
    <t>(Increase)/decrease in deferred tax assets</t>
  </si>
  <si>
    <t>Borrowings</t>
  </si>
  <si>
    <t>Net current assets</t>
  </si>
  <si>
    <t>Pre-tax ROCE (%)</t>
  </si>
  <si>
    <t>Pre-tax ROE (%)</t>
  </si>
  <si>
    <t>EBIT/ closing adjusted capital employed</t>
  </si>
  <si>
    <t>PBT/ closing adjusted net worth</t>
  </si>
  <si>
    <t>Operating EBITDA</t>
  </si>
  <si>
    <t>Operating PBT</t>
  </si>
  <si>
    <t>Inventory days</t>
  </si>
  <si>
    <t>OCA, L&amp;A days</t>
  </si>
  <si>
    <t>Payable days</t>
  </si>
  <si>
    <t>Receivables days</t>
  </si>
  <si>
    <t>OCL, Provisions days</t>
  </si>
  <si>
    <t>Net current asset days/ working capital days/ cash conversion cycle</t>
  </si>
  <si>
    <t>Operating EBITDA margin (%)</t>
  </si>
  <si>
    <t>Operating PBT margin (%)</t>
  </si>
  <si>
    <t>Operating EBITDA/ total revenue</t>
  </si>
  <si>
    <t>Operating PBT/ total revenue</t>
  </si>
  <si>
    <t>Current Liabilities</t>
  </si>
  <si>
    <t>(Increase)/decrease in long term loans and advances</t>
  </si>
  <si>
    <t>(Increase)/decrease in inventories</t>
  </si>
  <si>
    <t xml:space="preserve">Changes in reserves </t>
  </si>
  <si>
    <t>(Closing receivables / Turnover)*365</t>
  </si>
  <si>
    <t>(Closing inventory / Turnover)*365</t>
  </si>
  <si>
    <t>(Closing OCA, L&amp;A / Turnover)*365</t>
  </si>
  <si>
    <t>(Closing payables / Turnover)*365</t>
  </si>
  <si>
    <t>(Closing OCL, Provisions / Turnover)*365</t>
  </si>
  <si>
    <t>Current and non-current investments</t>
  </si>
  <si>
    <t>Amortisation</t>
  </si>
  <si>
    <t>Director's loan a/c</t>
  </si>
  <si>
    <t>Term loan</t>
  </si>
  <si>
    <t>31 Mar 23</t>
  </si>
  <si>
    <t>Provision for leave encashment</t>
  </si>
  <si>
    <t xml:space="preserve">Deferred tax assets </t>
  </si>
  <si>
    <t>Advance tax</t>
  </si>
  <si>
    <t>Others</t>
  </si>
  <si>
    <t>Raw material</t>
  </si>
  <si>
    <t>Stores and spares</t>
  </si>
  <si>
    <t>Finished goods</t>
  </si>
  <si>
    <t>Work-in-progress</t>
  </si>
  <si>
    <t>Investment in shares</t>
  </si>
  <si>
    <t>Unsecured loans</t>
  </si>
  <si>
    <t>Name</t>
  </si>
  <si>
    <t>"x" equity shares of Rs. 10 each</t>
  </si>
  <si>
    <t>FY24</t>
  </si>
  <si>
    <t>Interest on IT refund</t>
  </si>
  <si>
    <t>Interest on Loan</t>
  </si>
  <si>
    <t>Interest on FD</t>
  </si>
  <si>
    <t>31 Mar 24</t>
  </si>
  <si>
    <t>FY25</t>
  </si>
  <si>
    <t>FY26</t>
  </si>
  <si>
    <t>31 Mar 25</t>
  </si>
  <si>
    <t>31 Mar 26</t>
  </si>
  <si>
    <t>Cost of goods sold</t>
  </si>
  <si>
    <t>Profit for the year</t>
  </si>
  <si>
    <t>Miscellaneous Income</t>
  </si>
  <si>
    <t>Annual maintenance charges</t>
  </si>
  <si>
    <t>E-commerce support service</t>
  </si>
  <si>
    <t>Marketing staff conveyance expenses</t>
  </si>
  <si>
    <t>Travelling exp. within India</t>
  </si>
  <si>
    <t>Additions during the year</t>
  </si>
  <si>
    <t>Hong Kong and Shanghai banking corp. ltd.</t>
  </si>
  <si>
    <t>Investment in mutual funds</t>
  </si>
  <si>
    <t>Factory electricity expenses</t>
  </si>
  <si>
    <t>Wages</t>
  </si>
  <si>
    <t>Factory rent</t>
  </si>
  <si>
    <t>Custom duty</t>
  </si>
  <si>
    <t>Diesel expenses</t>
  </si>
  <si>
    <t>Production expenses</t>
  </si>
  <si>
    <t>y-o-y change</t>
  </si>
  <si>
    <t>Provision for expenses</t>
  </si>
  <si>
    <t>Land</t>
  </si>
  <si>
    <t>Building</t>
  </si>
  <si>
    <t>Machinery</t>
  </si>
  <si>
    <t>Intangible</t>
  </si>
  <si>
    <t>Other operating income</t>
  </si>
  <si>
    <t>Direct labor</t>
  </si>
  <si>
    <t>Direct materials</t>
  </si>
  <si>
    <t>Manufacturing supplies</t>
  </si>
  <si>
    <t>Factory lighting</t>
  </si>
  <si>
    <t>Factory insurance</t>
  </si>
  <si>
    <t>Gas, water, and fuel</t>
  </si>
  <si>
    <t>Cost of raw materials</t>
  </si>
  <si>
    <t>Equipment</t>
  </si>
  <si>
    <t>Cargo</t>
  </si>
  <si>
    <t>Other admin 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</si>
</sst>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 * #,##0.00_ ;_ * \-#,##0.00_ ;_ * &quot;-&quot;??_ ;_ @_ "/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 * #,##0.0_ ;_ * \-#,##0.0_ ;_ * &quot;-&quot;??_ ;_ @_ "/>
    <numFmt numFmtId="167" formatCode="_(* #,##0_);_(* \(#,##0\);_(* &quot;-&quot;??_);_(@_)"/>
    <numFmt numFmtId="168" formatCode="_ * #,##0_ ;_ * \-#,##0_ ;_ * &quot;-&quot;??_ ;_ @_ "/>
    <numFmt numFmtId="169" formatCode="_(* #,##0.0_);_(* \(#,##0.0\);_(* &quot;-&quot;?_);@_)"/>
    <numFmt numFmtId="170" formatCode="_ * #,##0.00000000000000000_ ;_ * \-#,##0.00000000000000000_ ;_ * &quot;-&quot;??_ ;_ @_ "/>
    <numFmt numFmtId="171" formatCode="_ * #,##0.000000000000000000000000000000000000_ ;_ * \-#,##0.000000000000000000000000000000000000_ ;_ * &quot;-&quot;??_ ;_ @_ "/>
    <numFmt numFmtId="172" formatCode="0.0%"/>
    <numFmt numFmtId="173" formatCode="_(* #,##0.0_);_(* \(#,##0.0\);_(* &quot;-&quot;??_);_(@_)"/>
    <numFmt numFmtId="174" formatCode="_(* #,##0_);_(* \(#,##0\);_(* &quot;-&quot;?_);@_)"/>
    <numFmt numFmtId="175" formatCode="_(* #,##0.00_);_(* \(#,##0.00\);_(* \-??_);_(@_)"/>
    <numFmt numFmtId="176" formatCode="_ * #,##0.000_ ;_ * \-#,##0.000_ ;_ * &quot;-&quot;??_ ;_ @_ "/>
    <numFmt numFmtId="177" formatCode="#,##0.0_);\(#,##0.0\)"/>
  </numFmts>
  <fonts count="27">
    <font>
      <sz val="11"/>
      <color theme="1"/>
      <name val="Calibri"/>
      <family val="2"/>
      <scheme val="minor"/>
    </font>
    <font>
      <sz val="10"/>
      <color theme="1"/>
      <name val="Ebrima"/>
      <family val="2"/>
    </font>
    <font>
      <sz val="10"/>
      <color theme="1"/>
      <name val="Ebrima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Ebrima"/>
      <family val="2"/>
    </font>
    <font>
      <sz val="10"/>
      <color theme="1"/>
      <name val="Ebrima"/>
      <family val="2"/>
    </font>
    <font>
      <sz val="10"/>
      <name val="Ebrima"/>
      <family val="2"/>
    </font>
    <font>
      <b/>
      <sz val="10"/>
      <color theme="1"/>
      <name val="Ebrima"/>
      <family val="2"/>
    </font>
    <font>
      <sz val="9"/>
      <name val="Arial"/>
      <family val="2"/>
    </font>
    <font>
      <u/>
      <sz val="11"/>
      <color theme="10"/>
      <name val="Calibri"/>
      <family val="2"/>
    </font>
    <font>
      <i/>
      <sz val="10"/>
      <color theme="1"/>
      <name val="Ebrima"/>
      <family val="2"/>
    </font>
    <font>
      <sz val="10"/>
      <color theme="1"/>
      <name val="Ebrima"/>
      <family val="2"/>
    </font>
    <font>
      <b/>
      <sz val="10"/>
      <color theme="0"/>
      <name val="Ebrima"/>
      <family val="2"/>
    </font>
    <font>
      <sz val="10"/>
      <color rgb="FFFF0000"/>
      <name val="Ebrima"/>
      <family val="2"/>
    </font>
    <font>
      <sz val="8"/>
      <name val="Calibri"/>
      <family val="2"/>
      <scheme val="minor"/>
    </font>
    <font>
      <i/>
      <sz val="10"/>
      <color rgb="FFFF0000"/>
      <name val="Ebrima"/>
      <family val="2"/>
    </font>
    <font>
      <i/>
      <sz val="10"/>
      <name val="Ebrima"/>
      <family val="2"/>
    </font>
    <font>
      <sz val="9"/>
      <color theme="1"/>
      <name val="Ebrima"/>
      <family val="2"/>
    </font>
    <font>
      <sz val="9"/>
      <name val="Ebrima"/>
      <family val="2"/>
    </font>
    <font>
      <b/>
      <i/>
      <sz val="10"/>
      <name val="Ebrima"/>
    </font>
    <font>
      <b/>
      <i/>
      <sz val="10"/>
      <color theme="1"/>
      <name val="Ebrima"/>
    </font>
    <font>
      <sz val="10"/>
      <color theme="1"/>
      <name val="Ebrima"/>
    </font>
    <font>
      <sz val="10"/>
      <name val="Ebrima"/>
    </font>
    <font>
      <b/>
      <sz val="10"/>
      <color theme="1"/>
      <name val="Ebrima"/>
    </font>
    <font>
      <b/>
      <u/>
      <sz val="10"/>
      <color theme="1"/>
      <name val="Ebrima"/>
    </font>
    <font>
      <b/>
      <u/>
      <sz val="10"/>
      <name val="Ebrima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DDEBF7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4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4" fillId="0" borderId="0"/>
    <xf numFmtId="169" fontId="9" fillId="0" borderId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4" fillId="0" borderId="0"/>
    <xf numFmtId="0" fontId="4" fillId="0" borderId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4" fillId="0" borderId="0"/>
    <xf numFmtId="0" fontId="12" fillId="0" borderId="0"/>
    <xf numFmtId="164" fontId="4" fillId="0" borderId="0" applyFont="0" applyFill="0" applyBorder="0" applyAlignment="0" applyProtection="0"/>
    <xf numFmtId="175" fontId="4" fillId="0" borderId="0" applyFill="0" applyAlignment="0" applyProtection="0"/>
    <xf numFmtId="9" fontId="4" fillId="0" borderId="0" applyFill="0" applyAlignment="0" applyProtection="0"/>
  </cellStyleXfs>
  <cellXfs count="269">
    <xf numFmtId="0" fontId="0" fillId="0" borderId="0" xfId="0"/>
    <xf numFmtId="166" fontId="6" fillId="0" borderId="0" xfId="1" applyNumberFormat="1" applyFont="1"/>
    <xf numFmtId="0" fontId="5" fillId="0" borderId="0" xfId="3" applyFont="1" applyAlignment="1">
      <alignment horizontal="left" vertical="top"/>
    </xf>
    <xf numFmtId="0" fontId="7" fillId="0" borderId="0" xfId="3" applyFont="1" applyAlignment="1">
      <alignment horizontal="left" vertical="top" wrapText="1"/>
    </xf>
    <xf numFmtId="168" fontId="6" fillId="0" borderId="0" xfId="1" applyNumberFormat="1" applyFont="1" applyBorder="1"/>
    <xf numFmtId="168" fontId="8" fillId="0" borderId="0" xfId="1" applyNumberFormat="1" applyFont="1" applyFill="1" applyBorder="1"/>
    <xf numFmtId="169" fontId="7" fillId="0" borderId="0" xfId="4" applyFont="1" applyAlignment="1">
      <alignment horizontal="left"/>
    </xf>
    <xf numFmtId="0" fontId="6" fillId="0" borderId="0" xfId="0" applyFont="1"/>
    <xf numFmtId="168" fontId="8" fillId="0" borderId="0" xfId="1" applyNumberFormat="1" applyFont="1" applyFill="1" applyBorder="1" applyAlignment="1">
      <alignment vertical="top"/>
    </xf>
    <xf numFmtId="0" fontId="8" fillId="0" borderId="0" xfId="0" applyFont="1"/>
    <xf numFmtId="0" fontId="8" fillId="0" borderId="6" xfId="0" applyFont="1" applyBorder="1"/>
    <xf numFmtId="168" fontId="6" fillId="0" borderId="0" xfId="1" applyNumberFormat="1" applyFont="1" applyFill="1" applyBorder="1" applyAlignment="1">
      <alignment horizontal="right"/>
    </xf>
    <xf numFmtId="0" fontId="7" fillId="0" borderId="0" xfId="3" applyFont="1" applyAlignment="1">
      <alignment horizontal="left" vertical="top"/>
    </xf>
    <xf numFmtId="0" fontId="6" fillId="0" borderId="0" xfId="1" applyNumberFormat="1" applyFont="1" applyFill="1" applyBorder="1"/>
    <xf numFmtId="0" fontId="6" fillId="0" borderId="0" xfId="1" applyNumberFormat="1" applyFont="1" applyFill="1" applyBorder="1" applyAlignment="1">
      <alignment horizontal="left"/>
    </xf>
    <xf numFmtId="0" fontId="6" fillId="0" borderId="0" xfId="1" applyNumberFormat="1" applyFont="1" applyFill="1" applyBorder="1" applyAlignment="1"/>
    <xf numFmtId="168" fontId="6" fillId="0" borderId="0" xfId="1" applyNumberFormat="1" applyFont="1" applyFill="1" applyBorder="1"/>
    <xf numFmtId="168" fontId="8" fillId="0" borderId="0" xfId="1" applyNumberFormat="1" applyFont="1" applyFill="1" applyBorder="1" applyAlignment="1">
      <alignment horizontal="right" vertical="center"/>
    </xf>
    <xf numFmtId="0" fontId="6" fillId="0" borderId="8" xfId="0" applyFont="1" applyBorder="1"/>
    <xf numFmtId="0" fontId="7" fillId="0" borderId="0" xfId="19" applyFont="1" applyAlignment="1" applyProtection="1">
      <alignment vertical="center"/>
      <protection locked="0"/>
    </xf>
    <xf numFmtId="43" fontId="5" fillId="0" borderId="0" xfId="1" applyFont="1" applyBorder="1" applyAlignment="1" applyProtection="1">
      <alignment vertical="center"/>
      <protection locked="0"/>
    </xf>
    <xf numFmtId="43" fontId="7" fillId="0" borderId="0" xfId="19" applyNumberFormat="1" applyFont="1" applyAlignment="1" applyProtection="1">
      <alignment vertical="center"/>
      <protection locked="0"/>
    </xf>
    <xf numFmtId="0" fontId="7" fillId="2" borderId="0" xfId="0" applyFont="1" applyFill="1" applyAlignment="1">
      <alignment horizontal="left" vertical="center"/>
    </xf>
    <xf numFmtId="166" fontId="7" fillId="2" borderId="0" xfId="1" applyNumberFormat="1" applyFont="1" applyFill="1" applyBorder="1" applyAlignment="1">
      <alignment horizontal="right" vertical="center"/>
    </xf>
    <xf numFmtId="172" fontId="7" fillId="2" borderId="0" xfId="2" applyNumberFormat="1" applyFont="1" applyFill="1" applyBorder="1" applyAlignment="1">
      <alignment horizontal="right" vertical="center"/>
    </xf>
    <xf numFmtId="0" fontId="7" fillId="2" borderId="8" xfId="0" applyFont="1" applyFill="1" applyBorder="1" applyAlignment="1">
      <alignment horizontal="left" vertical="center"/>
    </xf>
    <xf numFmtId="172" fontId="7" fillId="2" borderId="8" xfId="2" applyNumberFormat="1" applyFont="1" applyFill="1" applyBorder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43" fontId="8" fillId="0" borderId="0" xfId="1" applyFont="1" applyBorder="1" applyAlignment="1">
      <alignment horizontal="left"/>
    </xf>
    <xf numFmtId="43" fontId="8" fillId="0" borderId="0" xfId="0" applyNumberFormat="1" applyFont="1"/>
    <xf numFmtId="43" fontId="6" fillId="0" borderId="0" xfId="1" applyFont="1" applyBorder="1"/>
    <xf numFmtId="43" fontId="6" fillId="0" borderId="0" xfId="0" applyNumberFormat="1" applyFont="1"/>
    <xf numFmtId="0" fontId="7" fillId="0" borderId="0" xfId="1" applyNumberFormat="1" applyFont="1" applyFill="1" applyBorder="1" applyAlignment="1">
      <alignment vertical="center"/>
    </xf>
    <xf numFmtId="166" fontId="7" fillId="0" borderId="0" xfId="1" applyNumberFormat="1" applyFont="1" applyFill="1" applyBorder="1" applyAlignment="1">
      <alignment vertical="center"/>
    </xf>
    <xf numFmtId="0" fontId="5" fillId="0" borderId="0" xfId="19" applyFont="1" applyAlignment="1" applyProtection="1">
      <alignment vertical="center"/>
      <protection locked="0"/>
    </xf>
    <xf numFmtId="167" fontId="6" fillId="0" borderId="0" xfId="1" applyNumberFormat="1" applyFont="1" applyBorder="1"/>
    <xf numFmtId="173" fontId="6" fillId="0" borderId="0" xfId="1" applyNumberFormat="1" applyFont="1" applyFill="1"/>
    <xf numFmtId="173" fontId="6" fillId="0" borderId="0" xfId="0" applyNumberFormat="1" applyFont="1"/>
    <xf numFmtId="168" fontId="14" fillId="0" borderId="11" xfId="1" applyNumberFormat="1" applyFont="1" applyBorder="1" applyAlignment="1">
      <alignment horizontal="left" vertical="top" wrapText="1"/>
    </xf>
    <xf numFmtId="0" fontId="14" fillId="0" borderId="0" xfId="0" applyFont="1"/>
    <xf numFmtId="166" fontId="6" fillId="0" borderId="0" xfId="1" applyNumberFormat="1" applyFont="1" applyBorder="1"/>
    <xf numFmtId="43" fontId="6" fillId="0" borderId="0" xfId="1" applyFont="1"/>
    <xf numFmtId="43" fontId="14" fillId="0" borderId="0" xfId="1" applyFont="1"/>
    <xf numFmtId="43" fontId="6" fillId="0" borderId="0" xfId="1" applyFont="1" applyFill="1"/>
    <xf numFmtId="166" fontId="5" fillId="0" borderId="0" xfId="1" applyNumberFormat="1" applyFont="1" applyBorder="1" applyAlignment="1">
      <alignment vertical="top"/>
    </xf>
    <xf numFmtId="166" fontId="7" fillId="0" borderId="0" xfId="1" applyNumberFormat="1" applyFont="1" applyBorder="1" applyAlignment="1">
      <alignment horizontal="left" vertical="top" wrapText="1"/>
    </xf>
    <xf numFmtId="166" fontId="5" fillId="0" borderId="0" xfId="1" quotePrefix="1" applyNumberFormat="1" applyFont="1" applyFill="1" applyBorder="1" applyAlignment="1">
      <alignment horizontal="right" vertical="top"/>
    </xf>
    <xf numFmtId="166" fontId="8" fillId="0" borderId="6" xfId="1" applyNumberFormat="1" applyFont="1" applyFill="1" applyBorder="1"/>
    <xf numFmtId="166" fontId="8" fillId="0" borderId="6" xfId="1" applyNumberFormat="1" applyFont="1" applyBorder="1"/>
    <xf numFmtId="173" fontId="14" fillId="0" borderId="0" xfId="1" applyNumberFormat="1" applyFont="1"/>
    <xf numFmtId="49" fontId="7" fillId="0" borderId="6" xfId="1" quotePrefix="1" applyNumberFormat="1" applyFont="1" applyBorder="1" applyAlignment="1">
      <alignment horizontal="left" vertical="top"/>
    </xf>
    <xf numFmtId="49" fontId="7" fillId="0" borderId="0" xfId="1" quotePrefix="1" applyNumberFormat="1" applyFont="1" applyBorder="1" applyAlignment="1">
      <alignment horizontal="left" vertical="top"/>
    </xf>
    <xf numFmtId="0" fontId="5" fillId="0" borderId="1" xfId="3" applyFont="1" applyBorder="1" applyAlignment="1">
      <alignment horizontal="centerContinuous" vertical="top"/>
    </xf>
    <xf numFmtId="49" fontId="5" fillId="0" borderId="0" xfId="1" applyNumberFormat="1" applyFont="1" applyAlignment="1">
      <alignment vertical="top"/>
    </xf>
    <xf numFmtId="49" fontId="5" fillId="0" borderId="0" xfId="1" applyNumberFormat="1" applyFont="1" applyAlignment="1">
      <alignment horizontal="left" vertical="top"/>
    </xf>
    <xf numFmtId="49" fontId="7" fillId="0" borderId="0" xfId="1" applyNumberFormat="1" applyFont="1" applyAlignment="1">
      <alignment horizontal="left"/>
    </xf>
    <xf numFmtId="49" fontId="5" fillId="0" borderId="6" xfId="1" applyNumberFormat="1" applyFont="1" applyBorder="1" applyAlignment="1">
      <alignment horizontal="left"/>
    </xf>
    <xf numFmtId="49" fontId="8" fillId="0" borderId="6" xfId="1" applyNumberFormat="1" applyFont="1" applyBorder="1"/>
    <xf numFmtId="49" fontId="6" fillId="0" borderId="0" xfId="1" applyNumberFormat="1" applyFont="1" applyAlignment="1">
      <alignment vertical="center"/>
    </xf>
    <xf numFmtId="49" fontId="6" fillId="0" borderId="0" xfId="1" applyNumberFormat="1" applyFont="1" applyBorder="1"/>
    <xf numFmtId="49" fontId="7" fillId="0" borderId="0" xfId="1" applyNumberFormat="1" applyFont="1" applyAlignment="1">
      <alignment horizontal="left" vertical="top" wrapText="1"/>
    </xf>
    <xf numFmtId="0" fontId="7" fillId="0" borderId="0" xfId="0" applyFont="1"/>
    <xf numFmtId="169" fontId="14" fillId="0" borderId="0" xfId="1" applyNumberFormat="1" applyFont="1"/>
    <xf numFmtId="49" fontId="6" fillId="0" borderId="0" xfId="1" applyNumberFormat="1" applyFont="1" applyFill="1" applyBorder="1"/>
    <xf numFmtId="49" fontId="8" fillId="0" borderId="0" xfId="1" applyNumberFormat="1" applyFont="1" applyFill="1" applyBorder="1"/>
    <xf numFmtId="49" fontId="8" fillId="0" borderId="0" xfId="1" applyNumberFormat="1" applyFont="1" applyFill="1" applyBorder="1" applyAlignment="1">
      <alignment vertical="center"/>
    </xf>
    <xf numFmtId="49" fontId="8" fillId="0" borderId="0" xfId="1" applyNumberFormat="1" applyFont="1" applyFill="1" applyBorder="1" applyAlignment="1">
      <alignment vertical="top"/>
    </xf>
    <xf numFmtId="49" fontId="6" fillId="0" borderId="0" xfId="1" applyNumberFormat="1" applyFont="1" applyFill="1" applyBorder="1" applyAlignment="1"/>
    <xf numFmtId="49" fontId="6" fillId="0" borderId="0" xfId="1" applyNumberFormat="1" applyFont="1" applyFill="1" applyBorder="1" applyAlignment="1">
      <alignment vertical="top"/>
    </xf>
    <xf numFmtId="174" fontId="6" fillId="0" borderId="0" xfId="1" applyNumberFormat="1" applyFont="1" applyFill="1" applyBorder="1"/>
    <xf numFmtId="174" fontId="8" fillId="0" borderId="0" xfId="1" applyNumberFormat="1" applyFont="1" applyFill="1" applyBorder="1"/>
    <xf numFmtId="174" fontId="8" fillId="0" borderId="6" xfId="1" applyNumberFormat="1" applyFont="1" applyFill="1" applyBorder="1" applyAlignment="1"/>
    <xf numFmtId="174" fontId="8" fillId="0" borderId="1" xfId="1" applyNumberFormat="1" applyFont="1" applyFill="1" applyBorder="1" applyAlignment="1">
      <alignment horizontal="center"/>
    </xf>
    <xf numFmtId="174" fontId="8" fillId="0" borderId="0" xfId="1" applyNumberFormat="1" applyFont="1" applyFill="1" applyBorder="1" applyAlignment="1">
      <alignment horizontal="center"/>
    </xf>
    <xf numFmtId="174" fontId="8" fillId="0" borderId="0" xfId="1" applyNumberFormat="1" applyFont="1" applyFill="1" applyBorder="1" applyAlignment="1"/>
    <xf numFmtId="174" fontId="6" fillId="0" borderId="0" xfId="1" applyNumberFormat="1" applyFont="1" applyFill="1" applyBorder="1" applyAlignment="1"/>
    <xf numFmtId="174" fontId="8" fillId="0" borderId="7" xfId="1" applyNumberFormat="1" applyFont="1" applyFill="1" applyBorder="1" applyAlignment="1"/>
    <xf numFmtId="174" fontId="5" fillId="0" borderId="6" xfId="1" applyNumberFormat="1" applyFont="1" applyFill="1" applyBorder="1" applyAlignment="1"/>
    <xf numFmtId="174" fontId="5" fillId="0" borderId="0" xfId="1" applyNumberFormat="1" applyFont="1" applyFill="1" applyBorder="1" applyAlignment="1">
      <alignment vertical="top"/>
    </xf>
    <xf numFmtId="174" fontId="8" fillId="0" borderId="0" xfId="1" applyNumberFormat="1" applyFont="1" applyFill="1" applyBorder="1" applyAlignment="1">
      <alignment horizontal="left"/>
    </xf>
    <xf numFmtId="174" fontId="7" fillId="0" borderId="0" xfId="1" applyNumberFormat="1" applyFont="1" applyFill="1" applyBorder="1" applyAlignment="1">
      <alignment vertical="top"/>
    </xf>
    <xf numFmtId="174" fontId="6" fillId="0" borderId="0" xfId="1" applyNumberFormat="1" applyFont="1" applyFill="1" applyBorder="1" applyAlignment="1">
      <alignment horizontal="left"/>
    </xf>
    <xf numFmtId="174" fontId="5" fillId="0" borderId="7" xfId="1" applyNumberFormat="1" applyFont="1" applyFill="1" applyBorder="1" applyAlignment="1">
      <alignment horizontal="center"/>
    </xf>
    <xf numFmtId="174" fontId="5" fillId="0" borderId="0" xfId="1" applyNumberFormat="1" applyFont="1" applyFill="1" applyBorder="1" applyAlignment="1">
      <alignment horizontal="center"/>
    </xf>
    <xf numFmtId="174" fontId="8" fillId="0" borderId="0" xfId="1" applyNumberFormat="1" applyFont="1" applyFill="1" applyBorder="1" applyAlignment="1">
      <alignment horizontal="right" vertical="top"/>
    </xf>
    <xf numFmtId="174" fontId="8" fillId="0" borderId="0" xfId="1" applyNumberFormat="1" applyFont="1" applyFill="1" applyBorder="1" applyAlignment="1">
      <alignment horizontal="right" vertical="center"/>
    </xf>
    <xf numFmtId="174" fontId="8" fillId="0" borderId="6" xfId="1" applyNumberFormat="1" applyFont="1" applyFill="1" applyBorder="1" applyAlignment="1">
      <alignment vertical="center"/>
    </xf>
    <xf numFmtId="174" fontId="6" fillId="0" borderId="0" xfId="1" applyNumberFormat="1" applyFont="1" applyFill="1"/>
    <xf numFmtId="174" fontId="8" fillId="0" borderId="7" xfId="1" applyNumberFormat="1" applyFont="1" applyFill="1" applyBorder="1" applyAlignment="1">
      <alignment horizontal="right" vertical="center"/>
    </xf>
    <xf numFmtId="174" fontId="6" fillId="0" borderId="0" xfId="1" applyNumberFormat="1" applyFont="1" applyFill="1" applyBorder="1" applyAlignment="1">
      <alignment horizontal="center"/>
    </xf>
    <xf numFmtId="174" fontId="7" fillId="0" borderId="0" xfId="1" applyNumberFormat="1" applyFont="1" applyFill="1" applyBorder="1"/>
    <xf numFmtId="174" fontId="8" fillId="0" borderId="6" xfId="1" applyNumberFormat="1" applyFont="1" applyFill="1" applyBorder="1" applyAlignment="1">
      <alignment vertical="top"/>
    </xf>
    <xf numFmtId="174" fontId="8" fillId="0" borderId="7" xfId="1" applyNumberFormat="1" applyFont="1" applyFill="1" applyBorder="1" applyAlignment="1">
      <alignment horizontal="right"/>
    </xf>
    <xf numFmtId="174" fontId="7" fillId="0" borderId="0" xfId="1" applyNumberFormat="1" applyFont="1" applyFill="1" applyBorder="1" applyAlignment="1"/>
    <xf numFmtId="174" fontId="8" fillId="0" borderId="7" xfId="1" applyNumberFormat="1" applyFont="1" applyFill="1" applyBorder="1"/>
    <xf numFmtId="174" fontId="8" fillId="0" borderId="3" xfId="1" applyNumberFormat="1" applyFont="1" applyFill="1" applyBorder="1"/>
    <xf numFmtId="174" fontId="7" fillId="0" borderId="0" xfId="1" applyNumberFormat="1" applyFont="1" applyFill="1" applyBorder="1" applyAlignment="1">
      <alignment horizontal="center"/>
    </xf>
    <xf numFmtId="174" fontId="6" fillId="0" borderId="0" xfId="1" applyNumberFormat="1" applyFont="1" applyFill="1" applyBorder="1" applyAlignment="1">
      <alignment horizontal="right" vertical="top"/>
    </xf>
    <xf numFmtId="49" fontId="7" fillId="0" borderId="0" xfId="1" applyNumberFormat="1" applyFont="1" applyAlignment="1">
      <alignment horizontal="left" vertical="center"/>
    </xf>
    <xf numFmtId="166" fontId="7" fillId="0" borderId="0" xfId="1" applyNumberFormat="1" applyFont="1" applyFill="1" applyBorder="1" applyAlignment="1">
      <alignment horizontal="left" vertical="top" wrapText="1"/>
    </xf>
    <xf numFmtId="0" fontId="5" fillId="0" borderId="0" xfId="1" applyNumberFormat="1" applyFont="1" applyAlignment="1">
      <alignment horizontal="left"/>
    </xf>
    <xf numFmtId="49" fontId="5" fillId="4" borderId="6" xfId="1" quotePrefix="1" applyNumberFormat="1" applyFont="1" applyFill="1" applyBorder="1" applyAlignment="1">
      <alignment horizontal="left" vertical="top"/>
    </xf>
    <xf numFmtId="49" fontId="5" fillId="4" borderId="6" xfId="3" applyNumberFormat="1" applyFont="1" applyFill="1" applyBorder="1" applyAlignment="1">
      <alignment horizontal="left" vertical="top"/>
    </xf>
    <xf numFmtId="49" fontId="5" fillId="4" borderId="3" xfId="3" applyNumberFormat="1" applyFont="1" applyFill="1" applyBorder="1" applyAlignment="1">
      <alignment horizontal="left" vertical="top"/>
    </xf>
    <xf numFmtId="49" fontId="5" fillId="4" borderId="3" xfId="1" applyNumberFormat="1" applyFont="1" applyFill="1" applyBorder="1" applyAlignment="1">
      <alignment vertical="top"/>
    </xf>
    <xf numFmtId="166" fontId="5" fillId="4" borderId="3" xfId="1" applyNumberFormat="1" applyFont="1" applyFill="1" applyBorder="1" applyAlignment="1"/>
    <xf numFmtId="0" fontId="8" fillId="4" borderId="7" xfId="0" applyFont="1" applyFill="1" applyBorder="1"/>
    <xf numFmtId="0" fontId="8" fillId="4" borderId="7" xfId="1" applyNumberFormat="1" applyFont="1" applyFill="1" applyBorder="1" applyAlignment="1">
      <alignment horizontal="left"/>
    </xf>
    <xf numFmtId="0" fontId="8" fillId="4" borderId="6" xfId="0" applyFont="1" applyFill="1" applyBorder="1"/>
    <xf numFmtId="0" fontId="8" fillId="4" borderId="8" xfId="0" applyFont="1" applyFill="1" applyBorder="1"/>
    <xf numFmtId="9" fontId="6" fillId="0" borderId="0" xfId="1" applyNumberFormat="1" applyFont="1" applyFill="1" applyBorder="1"/>
    <xf numFmtId="43" fontId="11" fillId="0" borderId="0" xfId="1" applyFont="1"/>
    <xf numFmtId="166" fontId="17" fillId="0" borderId="0" xfId="1" applyNumberFormat="1" applyFont="1" applyBorder="1" applyAlignment="1">
      <alignment horizontal="left"/>
    </xf>
    <xf numFmtId="172" fontId="6" fillId="0" borderId="0" xfId="0" applyNumberFormat="1" applyFont="1"/>
    <xf numFmtId="0" fontId="6" fillId="0" borderId="0" xfId="0" applyFont="1" applyAlignment="1">
      <alignment horizontal="right"/>
    </xf>
    <xf numFmtId="49" fontId="19" fillId="0" borderId="0" xfId="1" quotePrefix="1" applyNumberFormat="1" applyFont="1" applyBorder="1" applyAlignment="1">
      <alignment horizontal="left" vertical="top"/>
    </xf>
    <xf numFmtId="49" fontId="8" fillId="0" borderId="6" xfId="1" applyNumberFormat="1" applyFont="1" applyFill="1" applyBorder="1" applyAlignment="1"/>
    <xf numFmtId="49" fontId="8" fillId="0" borderId="1" xfId="1" applyNumberFormat="1" applyFont="1" applyFill="1" applyBorder="1" applyAlignment="1"/>
    <xf numFmtId="49" fontId="8" fillId="0" borderId="0" xfId="1" applyNumberFormat="1" applyFont="1" applyFill="1" applyBorder="1" applyAlignment="1"/>
    <xf numFmtId="49" fontId="8" fillId="0" borderId="7" xfId="1" applyNumberFormat="1" applyFont="1" applyFill="1" applyBorder="1" applyAlignment="1"/>
    <xf numFmtId="49" fontId="5" fillId="0" borderId="6" xfId="1" applyNumberFormat="1" applyFont="1" applyFill="1" applyBorder="1" applyAlignment="1"/>
    <xf numFmtId="49" fontId="7" fillId="0" borderId="0" xfId="1" applyNumberFormat="1" applyFont="1" applyFill="1" applyBorder="1" applyAlignment="1">
      <alignment vertical="top"/>
    </xf>
    <xf numFmtId="49" fontId="7" fillId="0" borderId="0" xfId="1" applyNumberFormat="1" applyFont="1" applyFill="1" applyBorder="1" applyAlignment="1">
      <alignment horizontal="left" vertical="top" indent="1"/>
    </xf>
    <xf numFmtId="49" fontId="8" fillId="0" borderId="7" xfId="1" applyNumberFormat="1" applyFont="1" applyFill="1" applyBorder="1" applyAlignment="1">
      <alignment vertical="center"/>
    </xf>
    <xf numFmtId="49" fontId="8" fillId="0" borderId="6" xfId="1" applyNumberFormat="1" applyFont="1" applyFill="1" applyBorder="1" applyAlignment="1">
      <alignment vertical="center"/>
    </xf>
    <xf numFmtId="49" fontId="7" fillId="0" borderId="0" xfId="1" applyNumberFormat="1" applyFont="1" applyFill="1" applyBorder="1" applyAlignment="1">
      <alignment horizontal="left"/>
    </xf>
    <xf numFmtId="49" fontId="8" fillId="0" borderId="7" xfId="1" applyNumberFormat="1" applyFont="1" applyFill="1" applyBorder="1" applyAlignment="1">
      <alignment vertical="top"/>
    </xf>
    <xf numFmtId="49" fontId="6" fillId="0" borderId="6" xfId="1" applyNumberFormat="1" applyFont="1" applyFill="1" applyBorder="1" applyAlignment="1">
      <alignment vertical="center"/>
    </xf>
    <xf numFmtId="49" fontId="6" fillId="0" borderId="1" xfId="1" applyNumberFormat="1" applyFont="1" applyFill="1" applyBorder="1" applyAlignment="1">
      <alignment vertical="center"/>
    </xf>
    <xf numFmtId="49" fontId="8" fillId="0" borderId="1" xfId="1" applyNumberFormat="1" applyFont="1" applyFill="1" applyBorder="1" applyAlignment="1">
      <alignment vertical="top"/>
    </xf>
    <xf numFmtId="49" fontId="6" fillId="0" borderId="0" xfId="1" applyNumberFormat="1" applyFont="1" applyFill="1" applyBorder="1" applyAlignment="1">
      <alignment vertical="center"/>
    </xf>
    <xf numFmtId="49" fontId="7" fillId="0" borderId="0" xfId="1" applyNumberFormat="1" applyFont="1" applyFill="1" applyBorder="1" applyAlignment="1">
      <alignment horizontal="left" indent="1"/>
    </xf>
    <xf numFmtId="49" fontId="7" fillId="0" borderId="6" xfId="1" applyNumberFormat="1" applyFont="1" applyFill="1" applyBorder="1" applyAlignment="1">
      <alignment vertical="top"/>
    </xf>
    <xf numFmtId="49" fontId="8" fillId="0" borderId="6" xfId="1" applyNumberFormat="1" applyFont="1" applyFill="1" applyBorder="1" applyAlignment="1">
      <alignment vertical="top"/>
    </xf>
    <xf numFmtId="49" fontId="8" fillId="0" borderId="1" xfId="1" applyNumberFormat="1" applyFont="1" applyFill="1" applyBorder="1"/>
    <xf numFmtId="49" fontId="8" fillId="0" borderId="7" xfId="1" applyNumberFormat="1" applyFont="1" applyFill="1" applyBorder="1"/>
    <xf numFmtId="49" fontId="7" fillId="0" borderId="0" xfId="1" applyNumberFormat="1" applyFont="1" applyFill="1" applyBorder="1" applyAlignment="1">
      <alignment vertical="top" wrapText="1"/>
    </xf>
    <xf numFmtId="49" fontId="8" fillId="0" borderId="3" xfId="1" applyNumberFormat="1" applyFont="1" applyFill="1" applyBorder="1"/>
    <xf numFmtId="49" fontId="6" fillId="0" borderId="0" xfId="1" applyNumberFormat="1" applyFont="1" applyFill="1" applyBorder="1" applyAlignment="1">
      <alignment horizontal="left" vertical="top" indent="1"/>
    </xf>
    <xf numFmtId="49" fontId="5" fillId="0" borderId="0" xfId="1" applyNumberFormat="1" applyFont="1" applyFill="1" applyBorder="1" applyAlignment="1">
      <alignment vertical="top"/>
    </xf>
    <xf numFmtId="49" fontId="6" fillId="0" borderId="6" xfId="1" applyNumberFormat="1" applyFont="1" applyFill="1" applyBorder="1" applyAlignment="1">
      <alignment vertical="top"/>
    </xf>
    <xf numFmtId="49" fontId="7" fillId="0" borderId="0" xfId="1" applyNumberFormat="1" applyFont="1" applyFill="1" applyBorder="1" applyAlignment="1">
      <alignment horizontal="left" vertical="top" indent="2"/>
    </xf>
    <xf numFmtId="0" fontId="13" fillId="3" borderId="1" xfId="1" applyNumberFormat="1" applyFont="1" applyFill="1" applyBorder="1" applyAlignment="1">
      <alignment horizontal="left" vertical="center" wrapText="1"/>
    </xf>
    <xf numFmtId="168" fontId="13" fillId="3" borderId="1" xfId="1" applyNumberFormat="1" applyFont="1" applyFill="1" applyBorder="1" applyAlignment="1">
      <alignment horizontal="center" vertical="center" wrapText="1"/>
    </xf>
    <xf numFmtId="0" fontId="8" fillId="4" borderId="3" xfId="0" applyFont="1" applyFill="1" applyBorder="1"/>
    <xf numFmtId="167" fontId="8" fillId="4" borderId="3" xfId="1" applyNumberFormat="1" applyFont="1" applyFill="1" applyBorder="1"/>
    <xf numFmtId="169" fontId="5" fillId="0" borderId="0" xfId="4" applyFont="1" applyAlignment="1">
      <alignment horizontal="left"/>
    </xf>
    <xf numFmtId="169" fontId="5" fillId="0" borderId="0" xfId="4" applyFont="1" applyAlignment="1">
      <alignment vertical="top"/>
    </xf>
    <xf numFmtId="49" fontId="5" fillId="0" borderId="0" xfId="1" applyNumberFormat="1" applyFont="1" applyBorder="1" applyAlignment="1">
      <alignment vertical="top"/>
    </xf>
    <xf numFmtId="0" fontId="13" fillId="3" borderId="1" xfId="0" applyFont="1" applyFill="1" applyBorder="1" applyAlignment="1">
      <alignment horizontal="left" vertical="center"/>
    </xf>
    <xf numFmtId="173" fontId="13" fillId="3" borderId="1" xfId="1" applyNumberFormat="1" applyFont="1" applyFill="1" applyBorder="1" applyAlignment="1">
      <alignment horizontal="center"/>
    </xf>
    <xf numFmtId="49" fontId="13" fillId="3" borderId="0" xfId="1" applyNumberFormat="1" applyFont="1" applyFill="1" applyAlignment="1">
      <alignment horizontal="left" vertical="top"/>
    </xf>
    <xf numFmtId="166" fontId="13" fillId="3" borderId="0" xfId="1" quotePrefix="1" applyNumberFormat="1" applyFont="1" applyFill="1" applyBorder="1" applyAlignment="1">
      <alignment horizontal="center"/>
    </xf>
    <xf numFmtId="177" fontId="6" fillId="0" borderId="0" xfId="1" applyNumberFormat="1" applyFont="1" applyFill="1"/>
    <xf numFmtId="177" fontId="8" fillId="0" borderId="6" xfId="1" applyNumberFormat="1" applyFont="1" applyFill="1" applyBorder="1" applyAlignment="1">
      <alignment horizontal="right"/>
    </xf>
    <xf numFmtId="177" fontId="6" fillId="0" borderId="0" xfId="1" applyNumberFormat="1" applyFont="1" applyFill="1" applyBorder="1"/>
    <xf numFmtId="177" fontId="8" fillId="4" borderId="7" xfId="1" applyNumberFormat="1" applyFont="1" applyFill="1" applyBorder="1" applyAlignment="1">
      <alignment horizontal="right"/>
    </xf>
    <xf numFmtId="177" fontId="6" fillId="0" borderId="0" xfId="1" applyNumberFormat="1" applyFont="1" applyFill="1" applyAlignment="1">
      <alignment horizontal="right"/>
    </xf>
    <xf numFmtId="177" fontId="8" fillId="4" borderId="0" xfId="1" applyNumberFormat="1" applyFont="1" applyFill="1" applyAlignment="1">
      <alignment horizontal="right"/>
    </xf>
    <xf numFmtId="177" fontId="8" fillId="4" borderId="8" xfId="1" applyNumberFormat="1" applyFont="1" applyFill="1" applyBorder="1" applyAlignment="1">
      <alignment horizontal="right"/>
    </xf>
    <xf numFmtId="49" fontId="7" fillId="0" borderId="0" xfId="1" applyNumberFormat="1" applyFont="1" applyFill="1" applyAlignment="1">
      <alignment horizontal="left"/>
    </xf>
    <xf numFmtId="49" fontId="6" fillId="0" borderId="0" xfId="1" applyNumberFormat="1" applyFont="1" applyFill="1" applyAlignment="1">
      <alignment vertical="center"/>
    </xf>
    <xf numFmtId="49" fontId="20" fillId="0" borderId="6" xfId="1" applyNumberFormat="1" applyFont="1" applyBorder="1" applyAlignment="1">
      <alignment horizontal="left"/>
    </xf>
    <xf numFmtId="166" fontId="20" fillId="0" borderId="6" xfId="1" applyNumberFormat="1" applyFont="1" applyBorder="1" applyAlignment="1">
      <alignment horizontal="left"/>
    </xf>
    <xf numFmtId="49" fontId="21" fillId="0" borderId="7" xfId="1" applyNumberFormat="1" applyFont="1" applyBorder="1"/>
    <xf numFmtId="166" fontId="21" fillId="0" borderId="7" xfId="1" applyNumberFormat="1" applyFont="1" applyFill="1" applyBorder="1"/>
    <xf numFmtId="49" fontId="8" fillId="0" borderId="0" xfId="1" applyNumberFormat="1" applyFont="1" applyFill="1"/>
    <xf numFmtId="49" fontId="6" fillId="0" borderId="0" xfId="1" applyNumberFormat="1" applyFont="1" applyFill="1" applyBorder="1" applyAlignment="1">
      <alignment horizontal="left" vertical="center"/>
    </xf>
    <xf numFmtId="174" fontId="6" fillId="0" borderId="0" xfId="1" applyNumberFormat="1" applyFont="1" applyFill="1" applyBorder="1" applyAlignment="1">
      <alignment horizontal="left" vertical="center"/>
    </xf>
    <xf numFmtId="49" fontId="6" fillId="0" borderId="1" xfId="1" applyNumberFormat="1" applyFont="1" applyFill="1" applyBorder="1" applyAlignment="1">
      <alignment horizontal="left" vertical="center"/>
    </xf>
    <xf numFmtId="174" fontId="6" fillId="0" borderId="0" xfId="1" applyNumberFormat="1" applyFont="1" applyFill="1" applyAlignment="1">
      <alignment horizontal="left" vertical="center"/>
    </xf>
    <xf numFmtId="174" fontId="6" fillId="0" borderId="0" xfId="1" applyNumberFormat="1" applyFont="1" applyFill="1" applyBorder="1" applyAlignment="1">
      <alignment horizontal="center" vertical="center"/>
    </xf>
    <xf numFmtId="49" fontId="22" fillId="0" borderId="6" xfId="1" applyNumberFormat="1" applyFont="1" applyFill="1" applyBorder="1" applyAlignment="1">
      <alignment vertical="top"/>
    </xf>
    <xf numFmtId="49" fontId="22" fillId="0" borderId="0" xfId="1" applyNumberFormat="1" applyFont="1" applyFill="1" applyBorder="1" applyAlignment="1">
      <alignment vertical="top"/>
    </xf>
    <xf numFmtId="49" fontId="6" fillId="0" borderId="0" xfId="1" applyNumberFormat="1" applyFont="1" applyFill="1" applyBorder="1" applyAlignment="1">
      <alignment horizontal="left" vertical="top"/>
    </xf>
    <xf numFmtId="49" fontId="23" fillId="0" borderId="0" xfId="3" applyNumberFormat="1" applyFont="1" applyAlignment="1">
      <alignment horizontal="left" vertical="top"/>
    </xf>
    <xf numFmtId="174" fontId="8" fillId="0" borderId="0" xfId="1" applyNumberFormat="1" applyFont="1" applyFill="1" applyBorder="1" applyAlignment="1">
      <alignment horizontal="right"/>
    </xf>
    <xf numFmtId="166" fontId="7" fillId="0" borderId="4" xfId="1" applyNumberFormat="1" applyFont="1" applyBorder="1" applyAlignment="1">
      <alignment horizontal="left" vertical="top" wrapText="1"/>
    </xf>
    <xf numFmtId="166" fontId="7" fillId="0" borderId="0" xfId="1" applyNumberFormat="1" applyFont="1" applyBorder="1" applyAlignment="1">
      <alignment horizontal="left" vertical="top"/>
    </xf>
    <xf numFmtId="9" fontId="5" fillId="0" borderId="0" xfId="3" applyNumberFormat="1" applyFont="1" applyAlignment="1">
      <alignment horizontal="centerContinuous" vertical="top"/>
    </xf>
    <xf numFmtId="9" fontId="5" fillId="0" borderId="4" xfId="3" applyNumberFormat="1" applyFont="1" applyBorder="1" applyAlignment="1">
      <alignment horizontal="centerContinuous" vertical="top"/>
    </xf>
    <xf numFmtId="0" fontId="6" fillId="0" borderId="0" xfId="0" applyFont="1" applyAlignment="1">
      <alignment vertical="top"/>
    </xf>
    <xf numFmtId="166" fontId="6" fillId="0" borderId="0" xfId="1" applyNumberFormat="1" applyFont="1" applyAlignment="1">
      <alignment vertical="top"/>
    </xf>
    <xf numFmtId="166" fontId="5" fillId="0" borderId="0" xfId="1" applyNumberFormat="1" applyFont="1" applyBorder="1" applyAlignment="1">
      <alignment horizontal="left" vertical="top"/>
    </xf>
    <xf numFmtId="166" fontId="5" fillId="0" borderId="0" xfId="1" applyNumberFormat="1" applyFont="1" applyFill="1" applyBorder="1" applyAlignment="1">
      <alignment horizontal="left" vertical="top"/>
    </xf>
    <xf numFmtId="9" fontId="6" fillId="0" borderId="0" xfId="1" applyNumberFormat="1" applyFont="1" applyAlignment="1">
      <alignment vertical="top"/>
    </xf>
    <xf numFmtId="9" fontId="6" fillId="0" borderId="0" xfId="1" applyNumberFormat="1" applyFont="1" applyBorder="1" applyAlignment="1">
      <alignment vertical="top"/>
    </xf>
    <xf numFmtId="0" fontId="8" fillId="0" borderId="10" xfId="0" applyFont="1" applyBorder="1" applyAlignment="1">
      <alignment vertical="top"/>
    </xf>
    <xf numFmtId="9" fontId="8" fillId="0" borderId="0" xfId="1" applyNumberFormat="1" applyFont="1" applyBorder="1" applyAlignment="1">
      <alignment horizontal="centerContinuous" vertical="top"/>
    </xf>
    <xf numFmtId="9" fontId="6" fillId="0" borderId="0" xfId="0" applyNumberFormat="1" applyFont="1" applyAlignment="1">
      <alignment horizontal="centerContinuous" vertical="top"/>
    </xf>
    <xf numFmtId="168" fontId="8" fillId="0" borderId="0" xfId="1" applyNumberFormat="1" applyFont="1" applyAlignment="1">
      <alignment horizontal="centerContinuous" vertical="top"/>
    </xf>
    <xf numFmtId="0" fontId="8" fillId="0" borderId="0" xfId="0" applyFont="1" applyAlignment="1">
      <alignment horizontal="centerContinuous" vertical="top"/>
    </xf>
    <xf numFmtId="49" fontId="13" fillId="3" borderId="7" xfId="3" applyNumberFormat="1" applyFont="1" applyFill="1" applyBorder="1" applyAlignment="1">
      <alignment vertical="top"/>
    </xf>
    <xf numFmtId="166" fontId="13" fillId="3" borderId="0" xfId="1" quotePrefix="1" applyNumberFormat="1" applyFont="1" applyFill="1" applyBorder="1" applyAlignment="1">
      <alignment horizontal="right" vertical="top"/>
    </xf>
    <xf numFmtId="166" fontId="13" fillId="3" borderId="4" xfId="1" quotePrefix="1" applyNumberFormat="1" applyFont="1" applyFill="1" applyBorder="1" applyAlignment="1">
      <alignment horizontal="right" vertical="top"/>
    </xf>
    <xf numFmtId="9" fontId="13" fillId="3" borderId="0" xfId="1" applyNumberFormat="1" applyFont="1" applyFill="1" applyBorder="1" applyAlignment="1">
      <alignment horizontal="center" vertical="top"/>
    </xf>
    <xf numFmtId="9" fontId="13" fillId="3" borderId="6" xfId="1" applyNumberFormat="1" applyFont="1" applyFill="1" applyBorder="1" applyAlignment="1">
      <alignment horizontal="center" vertical="top"/>
    </xf>
    <xf numFmtId="9" fontId="13" fillId="3" borderId="4" xfId="1" applyNumberFormat="1" applyFont="1" applyFill="1" applyBorder="1" applyAlignment="1">
      <alignment horizontal="center" vertical="top"/>
    </xf>
    <xf numFmtId="168" fontId="13" fillId="3" borderId="6" xfId="3" applyNumberFormat="1" applyFont="1" applyFill="1" applyBorder="1" applyAlignment="1">
      <alignment horizontal="center" vertical="top"/>
    </xf>
    <xf numFmtId="168" fontId="6" fillId="0" borderId="0" xfId="1" applyNumberFormat="1" applyFont="1" applyAlignment="1">
      <alignment vertical="top"/>
    </xf>
    <xf numFmtId="176" fontId="6" fillId="0" borderId="0" xfId="1" applyNumberFormat="1" applyFont="1" applyFill="1" applyBorder="1" applyAlignment="1">
      <alignment vertical="top"/>
    </xf>
    <xf numFmtId="0" fontId="14" fillId="0" borderId="11" xfId="0" applyFont="1" applyBorder="1" applyAlignment="1">
      <alignment vertical="top"/>
    </xf>
    <xf numFmtId="168" fontId="6" fillId="0" borderId="0" xfId="0" applyNumberFormat="1" applyFont="1" applyAlignment="1">
      <alignment vertical="top"/>
    </xf>
    <xf numFmtId="166" fontId="6" fillId="0" borderId="0" xfId="1" applyNumberFormat="1" applyFont="1" applyAlignment="1">
      <alignment horizontal="right" vertical="top"/>
    </xf>
    <xf numFmtId="166" fontId="6" fillId="0" borderId="1" xfId="1" applyNumberFormat="1" applyFont="1" applyBorder="1" applyAlignment="1">
      <alignment horizontal="right" vertical="top"/>
    </xf>
    <xf numFmtId="166" fontId="6" fillId="0" borderId="2" xfId="1" applyNumberFormat="1" applyFont="1" applyBorder="1" applyAlignment="1">
      <alignment horizontal="right" vertical="top"/>
    </xf>
    <xf numFmtId="9" fontId="6" fillId="0" borderId="0" xfId="2" applyFont="1" applyBorder="1" applyAlignment="1">
      <alignment horizontal="right" vertical="top"/>
    </xf>
    <xf numFmtId="9" fontId="6" fillId="0" borderId="2" xfId="2" applyFont="1" applyBorder="1" applyAlignment="1">
      <alignment horizontal="right" vertical="top"/>
    </xf>
    <xf numFmtId="168" fontId="6" fillId="0" borderId="0" xfId="1" applyNumberFormat="1" applyFont="1" applyFill="1" applyBorder="1" applyAlignment="1">
      <alignment horizontal="right" vertical="top"/>
    </xf>
    <xf numFmtId="166" fontId="5" fillId="4" borderId="6" xfId="1" quotePrefix="1" applyNumberFormat="1" applyFont="1" applyFill="1" applyBorder="1" applyAlignment="1">
      <alignment horizontal="right" vertical="top"/>
    </xf>
    <xf numFmtId="166" fontId="5" fillId="4" borderId="5" xfId="1" quotePrefix="1" applyNumberFormat="1" applyFont="1" applyFill="1" applyBorder="1" applyAlignment="1">
      <alignment horizontal="right" vertical="top"/>
    </xf>
    <xf numFmtId="9" fontId="8" fillId="4" borderId="6" xfId="2" applyFont="1" applyFill="1" applyBorder="1" applyAlignment="1">
      <alignment horizontal="right" vertical="top"/>
    </xf>
    <xf numFmtId="9" fontId="8" fillId="4" borderId="5" xfId="2" applyFont="1" applyFill="1" applyBorder="1" applyAlignment="1">
      <alignment horizontal="right" vertical="top"/>
    </xf>
    <xf numFmtId="168" fontId="6" fillId="0" borderId="0" xfId="1" applyNumberFormat="1" applyFont="1" applyFill="1" applyBorder="1" applyAlignment="1">
      <alignment vertical="top"/>
    </xf>
    <xf numFmtId="0" fontId="14" fillId="0" borderId="12" xfId="0" applyFont="1" applyBorder="1" applyAlignment="1">
      <alignment vertical="top"/>
    </xf>
    <xf numFmtId="0" fontId="18" fillId="0" borderId="0" xfId="0" applyFont="1" applyAlignment="1">
      <alignment vertical="top"/>
    </xf>
    <xf numFmtId="9" fontId="18" fillId="0" borderId="0" xfId="2" applyFont="1" applyBorder="1" applyAlignment="1">
      <alignment horizontal="right" vertical="top"/>
    </xf>
    <xf numFmtId="9" fontId="18" fillId="0" borderId="4" xfId="2" applyFont="1" applyBorder="1" applyAlignment="1">
      <alignment horizontal="right" vertical="top"/>
    </xf>
    <xf numFmtId="168" fontId="18" fillId="0" borderId="0" xfId="0" applyNumberFormat="1" applyFont="1" applyAlignment="1">
      <alignment vertical="top"/>
    </xf>
    <xf numFmtId="166" fontId="6" fillId="0" borderId="0" xfId="1" applyNumberFormat="1" applyFont="1" applyBorder="1" applyAlignment="1">
      <alignment horizontal="right" vertical="top"/>
    </xf>
    <xf numFmtId="166" fontId="6" fillId="0" borderId="4" xfId="1" applyNumberFormat="1" applyFont="1" applyBorder="1" applyAlignment="1">
      <alignment horizontal="right" vertical="top"/>
    </xf>
    <xf numFmtId="9" fontId="6" fillId="0" borderId="4" xfId="2" applyFont="1" applyBorder="1" applyAlignment="1">
      <alignment horizontal="right" vertical="top"/>
    </xf>
    <xf numFmtId="49" fontId="8" fillId="4" borderId="6" xfId="0" applyNumberFormat="1" applyFont="1" applyFill="1" applyBorder="1" applyAlignment="1">
      <alignment vertical="top"/>
    </xf>
    <xf numFmtId="166" fontId="8" fillId="4" borderId="6" xfId="1" applyNumberFormat="1" applyFont="1" applyFill="1" applyBorder="1" applyAlignment="1">
      <alignment horizontal="right" vertical="top"/>
    </xf>
    <xf numFmtId="166" fontId="8" fillId="4" borderId="5" xfId="1" applyNumberFormat="1" applyFont="1" applyFill="1" applyBorder="1" applyAlignment="1">
      <alignment horizontal="right" vertical="top"/>
    </xf>
    <xf numFmtId="171" fontId="6" fillId="0" borderId="0" xfId="0" applyNumberFormat="1" applyFont="1" applyAlignment="1">
      <alignment vertical="top"/>
    </xf>
    <xf numFmtId="9" fontId="6" fillId="0" borderId="0" xfId="2" applyFont="1" applyFill="1" applyBorder="1" applyAlignment="1">
      <alignment horizontal="right" vertical="top"/>
    </xf>
    <xf numFmtId="9" fontId="6" fillId="0" borderId="4" xfId="2" applyFont="1" applyFill="1" applyBorder="1" applyAlignment="1">
      <alignment horizontal="right" vertical="top"/>
    </xf>
    <xf numFmtId="170" fontId="6" fillId="0" borderId="0" xfId="0" applyNumberFormat="1" applyFont="1" applyAlignment="1">
      <alignment vertical="top"/>
    </xf>
    <xf numFmtId="166" fontId="5" fillId="4" borderId="6" xfId="1" applyNumberFormat="1" applyFont="1" applyFill="1" applyBorder="1" applyAlignment="1">
      <alignment horizontal="right" vertical="top"/>
    </xf>
    <xf numFmtId="166" fontId="5" fillId="4" borderId="5" xfId="1" applyNumberFormat="1" applyFont="1" applyFill="1" applyBorder="1" applyAlignment="1">
      <alignment horizontal="right" vertical="top"/>
    </xf>
    <xf numFmtId="9" fontId="6" fillId="0" borderId="1" xfId="2" applyFont="1" applyBorder="1" applyAlignment="1">
      <alignment horizontal="right" vertical="top"/>
    </xf>
    <xf numFmtId="168" fontId="6" fillId="0" borderId="0" xfId="1" applyNumberFormat="1" applyFont="1" applyBorder="1" applyAlignment="1">
      <alignment vertical="top"/>
    </xf>
    <xf numFmtId="166" fontId="7" fillId="0" borderId="2" xfId="1" applyNumberFormat="1" applyFont="1" applyBorder="1" applyAlignment="1">
      <alignment horizontal="right" vertical="top"/>
    </xf>
    <xf numFmtId="166" fontId="5" fillId="4" borderId="3" xfId="1" applyNumberFormat="1" applyFont="1" applyFill="1" applyBorder="1" applyAlignment="1">
      <alignment horizontal="right" vertical="top"/>
    </xf>
    <xf numFmtId="166" fontId="5" fillId="4" borderId="9" xfId="1" applyNumberFormat="1" applyFont="1" applyFill="1" applyBorder="1" applyAlignment="1">
      <alignment horizontal="right" vertical="top"/>
    </xf>
    <xf numFmtId="9" fontId="8" fillId="4" borderId="3" xfId="2" applyFont="1" applyFill="1" applyBorder="1" applyAlignment="1">
      <alignment horizontal="right" vertical="top"/>
    </xf>
    <xf numFmtId="9" fontId="8" fillId="4" borderId="9" xfId="2" applyFont="1" applyFill="1" applyBorder="1" applyAlignment="1">
      <alignment horizontal="right" vertical="top"/>
    </xf>
    <xf numFmtId="0" fontId="11" fillId="0" borderId="0" xfId="0" applyFont="1" applyAlignment="1">
      <alignment vertical="top"/>
    </xf>
    <xf numFmtId="166" fontId="11" fillId="0" borderId="0" xfId="1" applyNumberFormat="1" applyFont="1" applyAlignment="1">
      <alignment vertical="top"/>
    </xf>
    <xf numFmtId="166" fontId="11" fillId="0" borderId="0" xfId="1" applyNumberFormat="1" applyFont="1" applyBorder="1" applyAlignment="1">
      <alignment vertical="top"/>
    </xf>
    <xf numFmtId="9" fontId="11" fillId="0" borderId="0" xfId="0" applyNumberFormat="1" applyFont="1" applyAlignment="1">
      <alignment vertical="top"/>
    </xf>
    <xf numFmtId="9" fontId="6" fillId="0" borderId="0" xfId="0" applyNumberFormat="1" applyFont="1" applyAlignment="1">
      <alignment vertical="top"/>
    </xf>
    <xf numFmtId="0" fontId="16" fillId="0" borderId="0" xfId="0" applyFont="1" applyAlignment="1">
      <alignment vertical="top"/>
    </xf>
    <xf numFmtId="166" fontId="16" fillId="0" borderId="0" xfId="1" applyNumberFormat="1" applyFont="1" applyAlignment="1">
      <alignment vertical="top"/>
    </xf>
    <xf numFmtId="166" fontId="6" fillId="0" borderId="0" xfId="1" applyNumberFormat="1" applyFont="1" applyBorder="1" applyAlignment="1">
      <alignment vertical="top"/>
    </xf>
    <xf numFmtId="9" fontId="18" fillId="0" borderId="13" xfId="2" applyFont="1" applyBorder="1" applyAlignment="1">
      <alignment horizontal="right" vertical="top"/>
    </xf>
    <xf numFmtId="49" fontId="7" fillId="0" borderId="0" xfId="1" quotePrefix="1" applyNumberFormat="1" applyFont="1" applyBorder="1" applyAlignment="1">
      <alignment horizontal="left" vertical="top" indent="1"/>
    </xf>
    <xf numFmtId="166" fontId="7" fillId="0" borderId="1" xfId="1" applyNumberFormat="1" applyFont="1" applyBorder="1" applyAlignment="1">
      <alignment horizontal="right" vertical="top"/>
    </xf>
    <xf numFmtId="49" fontId="2" fillId="0" borderId="0" xfId="1" applyNumberFormat="1" applyFont="1" applyFill="1" applyBorder="1" applyAlignment="1">
      <alignment horizontal="left" indent="1"/>
    </xf>
    <xf numFmtId="49" fontId="2" fillId="0" borderId="0" xfId="1" applyNumberFormat="1" applyFont="1" applyFill="1" applyBorder="1" applyAlignment="1">
      <alignment vertical="top"/>
    </xf>
    <xf numFmtId="49" fontId="1" fillId="0" borderId="0" xfId="1" applyNumberFormat="1" applyFont="1" applyFill="1" applyBorder="1" applyAlignment="1">
      <alignment horizontal="left" vertical="top" indent="1"/>
    </xf>
    <xf numFmtId="168" fontId="24" fillId="0" borderId="0" xfId="1" applyNumberFormat="1" applyFont="1" applyFill="1" applyBorder="1"/>
    <xf numFmtId="168" fontId="24" fillId="0" borderId="0" xfId="1" applyNumberFormat="1" applyFont="1" applyFill="1" applyBorder="1" applyAlignment="1">
      <alignment horizontal="right"/>
    </xf>
    <xf numFmtId="49" fontId="25" fillId="0" borderId="6" xfId="1" applyNumberFormat="1" applyFont="1" applyFill="1" applyBorder="1" applyAlignment="1"/>
    <xf numFmtId="174" fontId="24" fillId="0" borderId="6" xfId="1" applyNumberFormat="1" applyFont="1" applyFill="1" applyBorder="1" applyAlignment="1"/>
    <xf numFmtId="174" fontId="24" fillId="0" borderId="0" xfId="1" applyNumberFormat="1" applyFont="1" applyFill="1" applyBorder="1" applyAlignment="1">
      <alignment horizontal="center"/>
    </xf>
    <xf numFmtId="49" fontId="25" fillId="0" borderId="0" xfId="1" applyNumberFormat="1" applyFont="1" applyFill="1" applyBorder="1" applyAlignment="1">
      <alignment horizontal="left"/>
    </xf>
    <xf numFmtId="174" fontId="24" fillId="0" borderId="0" xfId="1" applyNumberFormat="1" applyFont="1" applyFill="1" applyBorder="1" applyAlignment="1"/>
    <xf numFmtId="174" fontId="24" fillId="0" borderId="0" xfId="1" applyNumberFormat="1" applyFont="1" applyFill="1" applyBorder="1"/>
    <xf numFmtId="49" fontId="26" fillId="0" borderId="0" xfId="1" applyNumberFormat="1" applyFont="1" applyFill="1" applyBorder="1" applyAlignment="1">
      <alignment horizontal="left" vertical="top"/>
    </xf>
    <xf numFmtId="9" fontId="24" fillId="0" borderId="0" xfId="1" applyNumberFormat="1" applyFont="1" applyFill="1" applyBorder="1"/>
    <xf numFmtId="9" fontId="6" fillId="0" borderId="0" xfId="2" applyFont="1" applyFill="1" applyBorder="1"/>
    <xf numFmtId="9" fontId="7" fillId="0" borderId="0" xfId="2" applyFont="1" applyFill="1" applyBorder="1" applyAlignment="1">
      <alignment vertical="top"/>
    </xf>
    <xf numFmtId="9" fontId="24" fillId="0" borderId="0" xfId="2" applyFont="1" applyFill="1" applyBorder="1" applyAlignment="1">
      <alignment horizontal="centerContinuous"/>
    </xf>
    <xf numFmtId="9" fontId="6" fillId="0" borderId="0" xfId="2" applyFont="1" applyFill="1" applyBorder="1" applyAlignment="1">
      <alignment horizontal="centerContinuous"/>
    </xf>
    <xf numFmtId="9" fontId="8" fillId="0" borderId="1" xfId="2" applyFont="1" applyFill="1" applyBorder="1" applyAlignment="1">
      <alignment horizontal="center"/>
    </xf>
    <xf numFmtId="9" fontId="24" fillId="0" borderId="0" xfId="2" applyFont="1" applyFill="1" applyBorder="1"/>
    <xf numFmtId="9" fontId="8" fillId="0" borderId="7" xfId="2" applyFont="1" applyFill="1" applyBorder="1"/>
  </cellXfs>
  <cellStyles count="24">
    <cellStyle name="Brand Default_Book16" xfId="4" xr:uid="{00000000-0005-0000-0000-000000000000}"/>
    <cellStyle name="Comma" xfId="1" builtinId="3"/>
    <cellStyle name="Comma 2" xfId="5" xr:uid="{00000000-0005-0000-0000-000002000000}"/>
    <cellStyle name="Comma 2 2" xfId="7" xr:uid="{00000000-0005-0000-0000-000003000000}"/>
    <cellStyle name="Comma 2 2 2" xfId="8" xr:uid="{00000000-0005-0000-0000-000004000000}"/>
    <cellStyle name="Comma 2 3" xfId="6" xr:uid="{00000000-0005-0000-0000-000005000000}"/>
    <cellStyle name="Comma 2 4" xfId="18" xr:uid="{00000000-0005-0000-0000-000006000000}"/>
    <cellStyle name="Comma 3" xfId="9" xr:uid="{00000000-0005-0000-0000-000007000000}"/>
    <cellStyle name="Comma 4" xfId="10" xr:uid="{00000000-0005-0000-0000-000008000000}"/>
    <cellStyle name="Comma 5" xfId="17" xr:uid="{00000000-0005-0000-0000-000009000000}"/>
    <cellStyle name="Comma 5 2" xfId="16" xr:uid="{00000000-0005-0000-0000-00000A000000}"/>
    <cellStyle name="Comma 6" xfId="22" xr:uid="{C5945FA1-3E8D-43C2-920B-6FA6E4F875EE}"/>
    <cellStyle name="Currency 2" xfId="21" xr:uid="{7D2D98BA-C1FA-4F4D-89CD-5E46575DFF4C}"/>
    <cellStyle name="Hyperlink 2" xfId="11" xr:uid="{00000000-0005-0000-0000-00000B000000}"/>
    <cellStyle name="Normal" xfId="0" builtinId="0"/>
    <cellStyle name="Normal 2" xfId="3" xr:uid="{00000000-0005-0000-0000-00000D000000}"/>
    <cellStyle name="Normal 2 2" xfId="12" xr:uid="{00000000-0005-0000-0000-00000E000000}"/>
    <cellStyle name="Normal 2 3" xfId="13" xr:uid="{00000000-0005-0000-0000-00000F000000}"/>
    <cellStyle name="Normal 2 3 2" xfId="14" xr:uid="{00000000-0005-0000-0000-000010000000}"/>
    <cellStyle name="Normal 3" xfId="20" xr:uid="{7DB7BDB7-2CAD-4002-8D9A-E40F0C6C5108}"/>
    <cellStyle name="Normal 4" xfId="15" xr:uid="{00000000-0005-0000-0000-000011000000}"/>
    <cellStyle name="Normal_Databook Template 3" xfId="19" xr:uid="{00000000-0005-0000-0000-000013000000}"/>
    <cellStyle name="Percent" xfId="2" builtinId="5"/>
    <cellStyle name="Percent 2" xfId="23" xr:uid="{C1FC41A2-92C0-4E85-BEF7-14AB9BED1D23}"/>
  </cellStyles>
  <dxfs count="0"/>
  <tableStyles count="0" defaultTableStyle="TableStyleMedium2" defaultPivotStyle="PivotStyleLight16"/>
  <colors>
    <mruColors>
      <color rgb="FFDDEBF7"/>
      <color rgb="FFAEDE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Violet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I25"/>
  <sheetViews>
    <sheetView showGridLines="0" zoomScale="75" zoomScaleNormal="108" workbookViewId="0">
      <selection activeCell="D22" sqref="D22"/>
    </sheetView>
  </sheetViews>
  <sheetFormatPr defaultColWidth="8.81640625" defaultRowHeight="16" outlineLevelRow="1" outlineLevelCol="1"/>
  <cols>
    <col min="1" max="1" width="2.81640625" style="181" customWidth="1"/>
    <col min="2" max="2" width="36.36328125" style="181" bestFit="1" customWidth="1"/>
    <col min="3" max="3" width="7.81640625" style="182" bestFit="1" customWidth="1"/>
    <col min="4" max="5" width="6.81640625" style="182" bestFit="1" customWidth="1"/>
    <col min="6" max="6" width="6.90625" style="182" bestFit="1" customWidth="1"/>
    <col min="7" max="7" width="6.90625" style="245" customWidth="1"/>
    <col min="8" max="11" width="7.1796875" style="242" bestFit="1" customWidth="1"/>
    <col min="12" max="12" width="7.1796875" style="242" customWidth="1"/>
    <col min="13" max="13" width="7.453125" style="181" customWidth="1" outlineLevel="1"/>
    <col min="14" max="14" width="7.81640625" style="181" customWidth="1" outlineLevel="1"/>
    <col min="15" max="15" width="7.6328125" style="181" customWidth="1" outlineLevel="1"/>
    <col min="16" max="16" width="7.1796875" style="181" bestFit="1" customWidth="1"/>
    <col min="17" max="20" width="6.453125" style="181" customWidth="1"/>
    <col min="21" max="21" width="7.6328125" style="181" customWidth="1"/>
    <col min="22" max="33" width="6.453125" style="181" customWidth="1"/>
    <col min="34" max="34" width="10.36328125" style="181" bestFit="1" customWidth="1"/>
    <col min="35" max="35" width="18.81640625" style="181" bestFit="1" customWidth="1"/>
    <col min="36" max="16384" width="8.81640625" style="181"/>
  </cols>
  <sheetData>
    <row r="2" spans="1:35">
      <c r="B2" s="2" t="s">
        <v>247</v>
      </c>
      <c r="D2" s="183"/>
      <c r="E2" s="183"/>
      <c r="F2" s="184"/>
      <c r="G2" s="184"/>
      <c r="H2" s="185"/>
      <c r="I2" s="185"/>
      <c r="J2" s="185"/>
      <c r="K2" s="185"/>
      <c r="L2" s="186"/>
      <c r="M2" s="182"/>
    </row>
    <row r="3" spans="1:35">
      <c r="A3" s="181" t="s">
        <v>106</v>
      </c>
      <c r="B3" s="2" t="s">
        <v>0</v>
      </c>
      <c r="D3" s="183"/>
      <c r="E3" s="183"/>
      <c r="F3" s="183"/>
      <c r="G3" s="183"/>
      <c r="H3" s="185"/>
      <c r="I3" s="185"/>
      <c r="J3" s="185"/>
      <c r="K3" s="185"/>
      <c r="L3" s="186"/>
      <c r="M3" s="182"/>
      <c r="AI3" s="187" t="s">
        <v>1</v>
      </c>
    </row>
    <row r="4" spans="1:35">
      <c r="B4" s="3" t="s">
        <v>2</v>
      </c>
      <c r="D4" s="45"/>
      <c r="E4" s="45"/>
      <c r="F4" s="45"/>
      <c r="G4" s="177"/>
      <c r="H4" s="188" t="s">
        <v>3</v>
      </c>
      <c r="I4" s="189"/>
      <c r="J4" s="179"/>
      <c r="K4" s="179"/>
      <c r="L4" s="180"/>
      <c r="M4" s="190" t="s">
        <v>4</v>
      </c>
      <c r="N4" s="52"/>
      <c r="O4" s="191"/>
      <c r="AI4" s="38" cm="1">
        <f t="array" ref="AI4">_xlfn.IFS(B4="INR",10^0,B4="INR lakhs",10^5,B4="INR million",10^6)</f>
        <v>1000000</v>
      </c>
    </row>
    <row r="5" spans="1:35">
      <c r="B5" s="192" t="s">
        <v>5</v>
      </c>
      <c r="C5" s="193" t="s">
        <v>6</v>
      </c>
      <c r="D5" s="193" t="s">
        <v>7</v>
      </c>
      <c r="E5" s="193" t="s">
        <v>249</v>
      </c>
      <c r="F5" s="193" t="s">
        <v>254</v>
      </c>
      <c r="G5" s="194" t="s">
        <v>255</v>
      </c>
      <c r="H5" s="195" t="str">
        <f>C5</f>
        <v>FY22</v>
      </c>
      <c r="I5" s="195" t="str">
        <f>D5</f>
        <v>FY23</v>
      </c>
      <c r="J5" s="196" t="str">
        <f>E5</f>
        <v>FY24</v>
      </c>
      <c r="K5" s="195" t="str">
        <f>F5</f>
        <v>FY25</v>
      </c>
      <c r="L5" s="197" t="str">
        <f>G5</f>
        <v>FY26</v>
      </c>
      <c r="M5" s="198" t="str">
        <f>I5</f>
        <v>FY23</v>
      </c>
      <c r="N5" s="198" t="str">
        <f>J5</f>
        <v>FY24</v>
      </c>
      <c r="O5" s="198" t="str">
        <f>K5</f>
        <v>FY25</v>
      </c>
      <c r="P5" s="198" t="str">
        <f>L5</f>
        <v>FY26</v>
      </c>
      <c r="Q5" s="199"/>
      <c r="R5" s="199"/>
      <c r="S5" s="199"/>
      <c r="T5" s="199"/>
      <c r="U5" s="200"/>
      <c r="V5" s="199"/>
      <c r="W5" s="199"/>
      <c r="X5" s="199"/>
      <c r="Y5" s="199"/>
      <c r="Z5" s="199"/>
      <c r="AA5" s="199"/>
      <c r="AB5" s="199"/>
      <c r="AC5" s="199"/>
      <c r="AD5" s="199"/>
      <c r="AE5" s="199"/>
      <c r="AF5" s="199"/>
      <c r="AG5" s="199"/>
      <c r="AH5" s="201" t="s">
        <v>8</v>
      </c>
      <c r="AI5" s="202"/>
    </row>
    <row r="6" spans="1:35">
      <c r="B6" s="50" t="s">
        <v>77</v>
      </c>
      <c r="C6" s="204">
        <f>((Sch.!C186))/(curr)</f>
        <v>0</v>
      </c>
      <c r="D6" s="204">
        <f>((Sch.!D186))/(curr)</f>
        <v>0</v>
      </c>
      <c r="E6" s="204">
        <f>((Sch.!E186))/(curr)</f>
        <v>0</v>
      </c>
      <c r="F6" s="204">
        <f>((Sch.!F186))/(curr)</f>
        <v>0</v>
      </c>
      <c r="G6" s="205">
        <f>((Sch.!G186))/(curr)</f>
        <v>0</v>
      </c>
      <c r="H6" s="206">
        <f>IFERROR(C6/C$7,0)</f>
        <v>0</v>
      </c>
      <c r="I6" s="206">
        <f t="shared" ref="I6:L6" si="0">IFERROR(D6/D$7,0)</f>
        <v>0</v>
      </c>
      <c r="J6" s="206">
        <f t="shared" si="0"/>
        <v>0</v>
      </c>
      <c r="K6" s="206">
        <f t="shared" si="0"/>
        <v>0</v>
      </c>
      <c r="L6" s="207">
        <f t="shared" si="0"/>
        <v>0</v>
      </c>
      <c r="M6" s="206">
        <f>+IFERROR((D6/C6)-1,0)</f>
        <v>0</v>
      </c>
      <c r="N6" s="206">
        <f t="shared" ref="N6:N22" si="1">+IFERROR((E6/D6)-1,0)</f>
        <v>0</v>
      </c>
      <c r="O6" s="206">
        <f t="shared" ref="O6:P22" si="2">+IFERROR((F6/E6)-1,0)</f>
        <v>0</v>
      </c>
      <c r="P6" s="206">
        <f t="shared" si="2"/>
        <v>0</v>
      </c>
      <c r="R6" s="199"/>
      <c r="S6" s="199"/>
      <c r="T6" s="199"/>
      <c r="U6" s="199"/>
      <c r="V6" s="199"/>
      <c r="W6" s="199"/>
      <c r="X6" s="199"/>
      <c r="Y6" s="199"/>
      <c r="Z6" s="199"/>
      <c r="AA6" s="199"/>
      <c r="AB6" s="199"/>
      <c r="AC6" s="199"/>
      <c r="AD6" s="199"/>
      <c r="AE6" s="199"/>
      <c r="AF6" s="199"/>
      <c r="AG6" s="199"/>
      <c r="AH6" s="201" t="s">
        <v>9</v>
      </c>
      <c r="AI6" s="202"/>
    </row>
    <row r="7" spans="1:35" s="213" customFormat="1">
      <c r="A7" s="208"/>
      <c r="B7" s="101" t="s">
        <v>10</v>
      </c>
      <c r="C7" s="209">
        <f>SUM(C6:C6)</f>
        <v>0</v>
      </c>
      <c r="D7" s="209">
        <f>SUM(D6:D6)</f>
        <v>0</v>
      </c>
      <c r="E7" s="209">
        <f>SUM(E6:E6)</f>
        <v>0</v>
      </c>
      <c r="F7" s="209">
        <f>SUM(F6:F6)</f>
        <v>0</v>
      </c>
      <c r="G7" s="210">
        <f>SUM(G6:G6)</f>
        <v>0</v>
      </c>
      <c r="H7" s="211">
        <f t="shared" ref="H7:H22" si="3">IFERROR(C7/C$7,0)</f>
        <v>0</v>
      </c>
      <c r="I7" s="211">
        <f t="shared" ref="I7:I22" si="4">IFERROR(D7/D$7,0)</f>
        <v>0</v>
      </c>
      <c r="J7" s="211">
        <f t="shared" ref="J7:J22" si="5">IFERROR(E7/E$7,0)</f>
        <v>0</v>
      </c>
      <c r="K7" s="211">
        <f t="shared" ref="K7:K22" si="6">IFERROR(F7/F$7,0)</f>
        <v>0</v>
      </c>
      <c r="L7" s="212">
        <f t="shared" ref="L7:L22" si="7">IFERROR(G7/G$7,0)</f>
        <v>0</v>
      </c>
      <c r="M7" s="211">
        <f t="shared" ref="M7:M22" si="8">+IFERROR((D7/C7)-1,0)</f>
        <v>0</v>
      </c>
      <c r="N7" s="211">
        <f t="shared" si="1"/>
        <v>0</v>
      </c>
      <c r="O7" s="211">
        <f t="shared" si="2"/>
        <v>0</v>
      </c>
      <c r="P7" s="211">
        <f t="shared" si="2"/>
        <v>0</v>
      </c>
      <c r="AH7" s="214" t="s">
        <v>2</v>
      </c>
    </row>
    <row r="8" spans="1:35" s="215" customFormat="1">
      <c r="B8" s="115" t="s">
        <v>4</v>
      </c>
      <c r="C8" s="206"/>
      <c r="D8" s="206">
        <f>IFERROR(D7/C7-1,0)</f>
        <v>0</v>
      </c>
      <c r="E8" s="206">
        <f t="shared" ref="E8:G8" si="9">IFERROR(E7/D7-1,0)</f>
        <v>0</v>
      </c>
      <c r="F8" s="206">
        <f t="shared" si="9"/>
        <v>0</v>
      </c>
      <c r="G8" s="206">
        <f t="shared" si="9"/>
        <v>0</v>
      </c>
      <c r="H8" s="246"/>
      <c r="I8" s="216"/>
      <c r="J8" s="216"/>
      <c r="K8" s="216"/>
      <c r="L8" s="217"/>
      <c r="M8" s="216"/>
      <c r="N8" s="216"/>
      <c r="O8" s="216"/>
      <c r="P8" s="216"/>
      <c r="AI8" s="218"/>
    </row>
    <row r="9" spans="1:35">
      <c r="B9" s="51" t="s">
        <v>258</v>
      </c>
      <c r="C9" s="219">
        <f>SUM(C10:C11)</f>
        <v>0</v>
      </c>
      <c r="D9" s="219">
        <f t="shared" ref="D9:G9" si="10">SUM(D10:D11)</f>
        <v>0</v>
      </c>
      <c r="E9" s="219">
        <f t="shared" si="10"/>
        <v>0</v>
      </c>
      <c r="F9" s="219">
        <f t="shared" si="10"/>
        <v>0</v>
      </c>
      <c r="G9" s="220">
        <f t="shared" si="10"/>
        <v>0</v>
      </c>
      <c r="H9" s="206">
        <f t="shared" si="3"/>
        <v>0</v>
      </c>
      <c r="I9" s="206">
        <f t="shared" si="4"/>
        <v>0</v>
      </c>
      <c r="J9" s="206">
        <f t="shared" si="5"/>
        <v>0</v>
      </c>
      <c r="K9" s="206">
        <f t="shared" si="6"/>
        <v>0</v>
      </c>
      <c r="L9" s="221">
        <f t="shared" si="7"/>
        <v>0</v>
      </c>
      <c r="M9" s="206">
        <f t="shared" si="8"/>
        <v>0</v>
      </c>
      <c r="N9" s="206">
        <f t="shared" si="1"/>
        <v>0</v>
      </c>
      <c r="O9" s="206">
        <f t="shared" si="2"/>
        <v>0</v>
      </c>
      <c r="P9" s="206">
        <f t="shared" si="2"/>
        <v>0</v>
      </c>
      <c r="AI9" s="202"/>
    </row>
    <row r="10" spans="1:35" outlineLevel="1">
      <c r="B10" s="247" t="s">
        <v>157</v>
      </c>
      <c r="C10" s="203">
        <f>Sch.!C201/curr</f>
        <v>0</v>
      </c>
      <c r="D10" s="203">
        <f>Sch.!D201/curr</f>
        <v>0</v>
      </c>
      <c r="E10" s="203">
        <f>Sch.!E201/curr</f>
        <v>0</v>
      </c>
      <c r="F10" s="219">
        <f>Sch.!F201/curr</f>
        <v>0</v>
      </c>
      <c r="G10" s="220">
        <f>Sch.!G201/curr</f>
        <v>0</v>
      </c>
      <c r="H10" s="206">
        <f t="shared" si="3"/>
        <v>0</v>
      </c>
      <c r="I10" s="206">
        <f t="shared" si="4"/>
        <v>0</v>
      </c>
      <c r="J10" s="206">
        <f t="shared" si="5"/>
        <v>0</v>
      </c>
      <c r="K10" s="206">
        <f t="shared" si="6"/>
        <v>0</v>
      </c>
      <c r="L10" s="221">
        <f t="shared" si="7"/>
        <v>0</v>
      </c>
      <c r="M10" s="206">
        <f t="shared" si="8"/>
        <v>0</v>
      </c>
      <c r="N10" s="206">
        <f t="shared" si="1"/>
        <v>0</v>
      </c>
      <c r="O10" s="206">
        <f t="shared" si="2"/>
        <v>0</v>
      </c>
      <c r="P10" s="206">
        <f t="shared" si="2"/>
        <v>0</v>
      </c>
      <c r="AI10" s="202"/>
    </row>
    <row r="11" spans="1:35" outlineLevel="1">
      <c r="B11" s="247" t="s">
        <v>158</v>
      </c>
      <c r="C11" s="203">
        <f>Sch.!C202/curr</f>
        <v>0</v>
      </c>
      <c r="D11" s="203">
        <f>Sch.!D202/curr</f>
        <v>0</v>
      </c>
      <c r="E11" s="203">
        <f>Sch.!E202/curr</f>
        <v>0</v>
      </c>
      <c r="F11" s="219">
        <f>Sch.!F202/curr</f>
        <v>0</v>
      </c>
      <c r="G11" s="220">
        <f>Sch.!G202/curr</f>
        <v>0</v>
      </c>
      <c r="H11" s="206">
        <f t="shared" si="3"/>
        <v>0</v>
      </c>
      <c r="I11" s="206">
        <f t="shared" si="4"/>
        <v>0</v>
      </c>
      <c r="J11" s="206">
        <f t="shared" si="5"/>
        <v>0</v>
      </c>
      <c r="K11" s="206">
        <f t="shared" si="6"/>
        <v>0</v>
      </c>
      <c r="L11" s="221">
        <f t="shared" si="7"/>
        <v>0</v>
      </c>
      <c r="M11" s="206">
        <f t="shared" si="8"/>
        <v>0</v>
      </c>
      <c r="N11" s="206">
        <f t="shared" si="1"/>
        <v>0</v>
      </c>
      <c r="O11" s="206">
        <f t="shared" si="2"/>
        <v>0</v>
      </c>
      <c r="P11" s="206">
        <f t="shared" si="2"/>
        <v>0</v>
      </c>
      <c r="AI11" s="202"/>
    </row>
    <row r="12" spans="1:35">
      <c r="B12" s="51" t="s">
        <v>159</v>
      </c>
      <c r="C12" s="203">
        <f>Sch.!C259/curr</f>
        <v>0</v>
      </c>
      <c r="D12" s="203">
        <f>Sch.!D259/curr</f>
        <v>0</v>
      </c>
      <c r="E12" s="203">
        <f>Sch.!E259/curr</f>
        <v>0</v>
      </c>
      <c r="F12" s="219">
        <f>Sch.!F259/curr</f>
        <v>0</v>
      </c>
      <c r="G12" s="220">
        <f>Sch.!G259/curr</f>
        <v>0</v>
      </c>
      <c r="H12" s="206">
        <f t="shared" si="3"/>
        <v>0</v>
      </c>
      <c r="I12" s="206">
        <f t="shared" si="4"/>
        <v>0</v>
      </c>
      <c r="J12" s="206">
        <f t="shared" si="5"/>
        <v>0</v>
      </c>
      <c r="K12" s="206">
        <f t="shared" si="6"/>
        <v>0</v>
      </c>
      <c r="L12" s="221">
        <f t="shared" si="7"/>
        <v>0</v>
      </c>
      <c r="M12" s="206">
        <f t="shared" si="8"/>
        <v>0</v>
      </c>
      <c r="N12" s="206">
        <f t="shared" si="1"/>
        <v>0</v>
      </c>
      <c r="O12" s="206">
        <f t="shared" si="2"/>
        <v>0</v>
      </c>
      <c r="P12" s="206">
        <f t="shared" si="2"/>
        <v>0</v>
      </c>
      <c r="AI12" s="202"/>
    </row>
    <row r="13" spans="1:35">
      <c r="B13" s="222" t="s">
        <v>11</v>
      </c>
      <c r="C13" s="223">
        <f>C7-C9-C12</f>
        <v>0</v>
      </c>
      <c r="D13" s="223">
        <f t="shared" ref="D13:G13" si="11">D7-D9-D12</f>
        <v>0</v>
      </c>
      <c r="E13" s="223">
        <f t="shared" si="11"/>
        <v>0</v>
      </c>
      <c r="F13" s="223">
        <f t="shared" si="11"/>
        <v>0</v>
      </c>
      <c r="G13" s="224">
        <f t="shared" si="11"/>
        <v>0</v>
      </c>
      <c r="H13" s="211">
        <f t="shared" si="3"/>
        <v>0</v>
      </c>
      <c r="I13" s="211">
        <f t="shared" si="4"/>
        <v>0</v>
      </c>
      <c r="J13" s="211">
        <f t="shared" si="5"/>
        <v>0</v>
      </c>
      <c r="K13" s="211">
        <f t="shared" si="6"/>
        <v>0</v>
      </c>
      <c r="L13" s="212">
        <f t="shared" si="7"/>
        <v>0</v>
      </c>
      <c r="M13" s="211">
        <f t="shared" si="8"/>
        <v>0</v>
      </c>
      <c r="N13" s="211">
        <f t="shared" si="1"/>
        <v>0</v>
      </c>
      <c r="O13" s="211">
        <f t="shared" si="2"/>
        <v>0</v>
      </c>
      <c r="P13" s="211">
        <f t="shared" si="2"/>
        <v>0</v>
      </c>
      <c r="Q13" s="199"/>
      <c r="R13" s="199"/>
      <c r="S13" s="199"/>
      <c r="T13" s="199"/>
      <c r="U13" s="199"/>
      <c r="V13" s="199"/>
      <c r="W13" s="199"/>
      <c r="X13" s="199"/>
      <c r="Y13" s="199"/>
      <c r="Z13" s="199"/>
      <c r="AA13" s="199"/>
      <c r="AB13" s="199"/>
      <c r="AC13" s="199"/>
      <c r="AD13" s="199"/>
      <c r="AE13" s="199"/>
      <c r="AF13" s="199"/>
      <c r="AG13" s="199"/>
      <c r="AH13" s="225"/>
      <c r="AI13" s="202"/>
    </row>
    <row r="14" spans="1:35">
      <c r="B14" s="51" t="s">
        <v>12</v>
      </c>
      <c r="C14" s="219">
        <f>(Sch.!C226)/(curr)</f>
        <v>0</v>
      </c>
      <c r="D14" s="219">
        <f>(Sch.!D226)/(curr)</f>
        <v>0</v>
      </c>
      <c r="E14" s="219">
        <f>(Sch.!E226)/(curr)</f>
        <v>0</v>
      </c>
      <c r="F14" s="219">
        <f>(Sch.!F226)/(curr)</f>
        <v>0</v>
      </c>
      <c r="G14" s="220">
        <f>(Sch.!G226)/(curr)</f>
        <v>0</v>
      </c>
      <c r="H14" s="226">
        <f t="shared" si="3"/>
        <v>0</v>
      </c>
      <c r="I14" s="226">
        <f t="shared" si="4"/>
        <v>0</v>
      </c>
      <c r="J14" s="226">
        <f t="shared" si="5"/>
        <v>0</v>
      </c>
      <c r="K14" s="226">
        <f t="shared" si="6"/>
        <v>0</v>
      </c>
      <c r="L14" s="227">
        <f t="shared" si="7"/>
        <v>0</v>
      </c>
      <c r="M14" s="206">
        <f t="shared" si="8"/>
        <v>0</v>
      </c>
      <c r="N14" s="206">
        <f t="shared" si="1"/>
        <v>0</v>
      </c>
      <c r="O14" s="206">
        <f t="shared" si="2"/>
        <v>0</v>
      </c>
      <c r="P14" s="206">
        <f t="shared" si="2"/>
        <v>0</v>
      </c>
      <c r="Q14" s="199"/>
      <c r="R14" s="199"/>
      <c r="S14" s="199"/>
      <c r="T14" s="199"/>
      <c r="U14" s="199"/>
      <c r="V14" s="199"/>
      <c r="W14" s="199"/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</row>
    <row r="15" spans="1:35">
      <c r="B15" s="51" t="s">
        <v>13</v>
      </c>
      <c r="C15" s="203">
        <f>(Sch.!C286+Sch.!C323)/curr</f>
        <v>0</v>
      </c>
      <c r="D15" s="203">
        <f>(Sch.!D286+Sch.!D323)/curr</f>
        <v>0</v>
      </c>
      <c r="E15" s="203">
        <f>(Sch.!E286+Sch.!E323)/curr</f>
        <v>0</v>
      </c>
      <c r="F15" s="219">
        <f>(Sch.!F286+Sch.!F323)/curr</f>
        <v>0</v>
      </c>
      <c r="G15" s="220">
        <f>(Sch.!G286+Sch.!G323)/curr</f>
        <v>0</v>
      </c>
      <c r="H15" s="206">
        <f t="shared" si="3"/>
        <v>0</v>
      </c>
      <c r="I15" s="206">
        <f t="shared" si="4"/>
        <v>0</v>
      </c>
      <c r="J15" s="206">
        <f t="shared" si="5"/>
        <v>0</v>
      </c>
      <c r="K15" s="206">
        <f t="shared" si="6"/>
        <v>0</v>
      </c>
      <c r="L15" s="221">
        <f t="shared" si="7"/>
        <v>0</v>
      </c>
      <c r="M15" s="206">
        <f t="shared" si="8"/>
        <v>0</v>
      </c>
      <c r="N15" s="206">
        <f t="shared" si="1"/>
        <v>0</v>
      </c>
      <c r="O15" s="206">
        <f t="shared" si="2"/>
        <v>0</v>
      </c>
      <c r="P15" s="206">
        <f t="shared" si="2"/>
        <v>0</v>
      </c>
      <c r="Q15" s="199"/>
      <c r="R15" s="199"/>
      <c r="S15" s="199"/>
      <c r="T15" s="199"/>
      <c r="U15" s="199"/>
      <c r="V15" s="199"/>
      <c r="W15" s="199"/>
      <c r="X15" s="199"/>
      <c r="Y15" s="199"/>
      <c r="Z15" s="199"/>
      <c r="AA15" s="199"/>
      <c r="AB15" s="199"/>
      <c r="AC15" s="199"/>
      <c r="AD15" s="199"/>
      <c r="AE15" s="199"/>
      <c r="AF15" s="199"/>
      <c r="AG15" s="199"/>
      <c r="AH15" s="228"/>
    </row>
    <row r="16" spans="1:35">
      <c r="B16" s="102" t="s">
        <v>211</v>
      </c>
      <c r="C16" s="229">
        <f>C13-SUM(C14:C15)</f>
        <v>0</v>
      </c>
      <c r="D16" s="229">
        <f>D13-SUM(D14:D15)</f>
        <v>0</v>
      </c>
      <c r="E16" s="229">
        <f>E13-SUM(E14:E15)</f>
        <v>0</v>
      </c>
      <c r="F16" s="229">
        <f>F13-SUM(F14:F15)</f>
        <v>0</v>
      </c>
      <c r="G16" s="230">
        <f>G13-SUM(G14:G15)</f>
        <v>0</v>
      </c>
      <c r="H16" s="211">
        <f t="shared" si="3"/>
        <v>0</v>
      </c>
      <c r="I16" s="211">
        <f t="shared" si="4"/>
        <v>0</v>
      </c>
      <c r="J16" s="211">
        <f t="shared" si="5"/>
        <v>0</v>
      </c>
      <c r="K16" s="211">
        <f t="shared" si="6"/>
        <v>0</v>
      </c>
      <c r="L16" s="212">
        <f t="shared" si="7"/>
        <v>0</v>
      </c>
      <c r="M16" s="211">
        <f t="shared" si="8"/>
        <v>0</v>
      </c>
      <c r="N16" s="211">
        <f t="shared" si="1"/>
        <v>0</v>
      </c>
      <c r="O16" s="211">
        <f t="shared" si="2"/>
        <v>0</v>
      </c>
      <c r="P16" s="211">
        <f t="shared" si="2"/>
        <v>0</v>
      </c>
      <c r="Q16" s="199"/>
      <c r="R16" s="199"/>
      <c r="S16" s="199"/>
      <c r="T16" s="199"/>
      <c r="U16" s="199"/>
      <c r="V16" s="199"/>
      <c r="W16" s="199"/>
      <c r="X16" s="199"/>
      <c r="Y16" s="199"/>
      <c r="Z16" s="199"/>
      <c r="AA16" s="199"/>
      <c r="AB16" s="199"/>
      <c r="AC16" s="199"/>
      <c r="AD16" s="199"/>
      <c r="AE16" s="199"/>
      <c r="AF16" s="199"/>
      <c r="AG16" s="199"/>
      <c r="AH16" s="228"/>
    </row>
    <row r="17" spans="2:34">
      <c r="B17" s="51" t="s">
        <v>15</v>
      </c>
      <c r="C17" s="219">
        <f>(Sch.!C234)/(curr)</f>
        <v>0</v>
      </c>
      <c r="D17" s="219">
        <f>(Sch.!D234)/(curr)</f>
        <v>0</v>
      </c>
      <c r="E17" s="219">
        <f>(Sch.!E234)/(curr)</f>
        <v>0</v>
      </c>
      <c r="F17" s="219">
        <f>(Sch.!F234)/(curr)</f>
        <v>0</v>
      </c>
      <c r="G17" s="220">
        <f>(Sch.!G234)/(curr)</f>
        <v>0</v>
      </c>
      <c r="H17" s="206">
        <f t="shared" si="3"/>
        <v>0</v>
      </c>
      <c r="I17" s="206">
        <f t="shared" si="4"/>
        <v>0</v>
      </c>
      <c r="J17" s="206">
        <f t="shared" si="5"/>
        <v>0</v>
      </c>
      <c r="K17" s="206">
        <f t="shared" si="6"/>
        <v>0</v>
      </c>
      <c r="L17" s="221">
        <f t="shared" si="7"/>
        <v>0</v>
      </c>
      <c r="M17" s="206">
        <f t="shared" si="8"/>
        <v>0</v>
      </c>
      <c r="N17" s="206">
        <f t="shared" si="1"/>
        <v>0</v>
      </c>
      <c r="O17" s="206">
        <f t="shared" si="2"/>
        <v>0</v>
      </c>
      <c r="P17" s="206">
        <f t="shared" si="2"/>
        <v>0</v>
      </c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</row>
    <row r="18" spans="2:34">
      <c r="B18" s="51" t="s">
        <v>121</v>
      </c>
      <c r="C18" s="204">
        <f>Sch.!C245/curr</f>
        <v>0</v>
      </c>
      <c r="D18" s="204">
        <f>Sch.!D245/curr</f>
        <v>0</v>
      </c>
      <c r="E18" s="204">
        <f>Sch.!E245/curr</f>
        <v>0</v>
      </c>
      <c r="F18" s="204">
        <f>Sch.!F245/curr</f>
        <v>0</v>
      </c>
      <c r="G18" s="205">
        <f>Sch.!G245/curr</f>
        <v>0</v>
      </c>
      <c r="H18" s="206">
        <f t="shared" si="3"/>
        <v>0</v>
      </c>
      <c r="I18" s="206">
        <f t="shared" si="4"/>
        <v>0</v>
      </c>
      <c r="J18" s="206">
        <f t="shared" si="5"/>
        <v>0</v>
      </c>
      <c r="K18" s="231">
        <f t="shared" si="6"/>
        <v>0</v>
      </c>
      <c r="L18" s="207">
        <f t="shared" si="7"/>
        <v>0</v>
      </c>
      <c r="M18" s="206">
        <f t="shared" si="8"/>
        <v>0</v>
      </c>
      <c r="N18" s="206">
        <f t="shared" si="1"/>
        <v>0</v>
      </c>
      <c r="O18" s="206">
        <f t="shared" si="2"/>
        <v>0</v>
      </c>
      <c r="P18" s="206">
        <f t="shared" si="2"/>
        <v>0</v>
      </c>
      <c r="Q18" s="199"/>
      <c r="R18" s="199"/>
      <c r="S18" s="199"/>
      <c r="T18" s="199"/>
      <c r="U18" s="199"/>
      <c r="V18" s="199"/>
      <c r="W18" s="199"/>
      <c r="X18" s="199"/>
      <c r="Y18" s="199"/>
      <c r="Z18" s="199"/>
      <c r="AA18" s="199"/>
      <c r="AB18" s="199"/>
      <c r="AC18" s="199"/>
      <c r="AD18" s="199"/>
      <c r="AE18" s="199"/>
      <c r="AF18" s="199"/>
      <c r="AG18" s="199"/>
    </row>
    <row r="19" spans="2:34">
      <c r="B19" s="102" t="s">
        <v>212</v>
      </c>
      <c r="C19" s="229">
        <f>C16-SUM(C17:C18)</f>
        <v>0</v>
      </c>
      <c r="D19" s="229">
        <f t="shared" ref="D19:F19" si="12">D16-SUM(D17:D18)</f>
        <v>0</v>
      </c>
      <c r="E19" s="229">
        <f t="shared" si="12"/>
        <v>0</v>
      </c>
      <c r="F19" s="229">
        <f t="shared" si="12"/>
        <v>0</v>
      </c>
      <c r="G19" s="230">
        <f t="shared" ref="G19" si="13">G16-SUM(G17:G18)</f>
        <v>0</v>
      </c>
      <c r="H19" s="211">
        <f t="shared" si="3"/>
        <v>0</v>
      </c>
      <c r="I19" s="211">
        <f t="shared" si="4"/>
        <v>0</v>
      </c>
      <c r="J19" s="211">
        <f t="shared" si="5"/>
        <v>0</v>
      </c>
      <c r="K19" s="211">
        <f t="shared" si="6"/>
        <v>0</v>
      </c>
      <c r="L19" s="212">
        <f t="shared" si="7"/>
        <v>0</v>
      </c>
      <c r="M19" s="211">
        <f t="shared" si="8"/>
        <v>0</v>
      </c>
      <c r="N19" s="211">
        <f t="shared" si="1"/>
        <v>0</v>
      </c>
      <c r="O19" s="211">
        <f t="shared" si="2"/>
        <v>0</v>
      </c>
      <c r="P19" s="211">
        <f t="shared" si="2"/>
        <v>0</v>
      </c>
      <c r="Q19" s="199"/>
      <c r="R19" s="199"/>
      <c r="S19" s="199"/>
      <c r="T19" s="199"/>
      <c r="U19" s="199"/>
      <c r="V19" s="199"/>
      <c r="W19" s="199"/>
      <c r="X19" s="199"/>
      <c r="Y19" s="199"/>
      <c r="Z19" s="199"/>
      <c r="AA19" s="199"/>
      <c r="AB19" s="199"/>
      <c r="AC19" s="199"/>
      <c r="AD19" s="199"/>
      <c r="AE19" s="199"/>
      <c r="AF19" s="199"/>
      <c r="AG19" s="199"/>
    </row>
    <row r="20" spans="2:34">
      <c r="B20" s="51" t="s">
        <v>14</v>
      </c>
      <c r="C20" s="219">
        <f>((Sch.!C197))/(curr)</f>
        <v>0</v>
      </c>
      <c r="D20" s="219">
        <f>((Sch.!D197))/(curr)</f>
        <v>0</v>
      </c>
      <c r="E20" s="219">
        <f>((Sch.!E197))/(curr)</f>
        <v>0</v>
      </c>
      <c r="F20" s="219">
        <f>((Sch.!F197))/(curr)</f>
        <v>0</v>
      </c>
      <c r="G20" s="220">
        <f>((Sch.!G197))/(curr)</f>
        <v>0</v>
      </c>
      <c r="H20" s="206">
        <f t="shared" si="3"/>
        <v>0</v>
      </c>
      <c r="I20" s="206">
        <f t="shared" si="4"/>
        <v>0</v>
      </c>
      <c r="J20" s="206">
        <f t="shared" si="5"/>
        <v>0</v>
      </c>
      <c r="K20" s="206">
        <f t="shared" si="6"/>
        <v>0</v>
      </c>
      <c r="L20" s="221">
        <f t="shared" si="7"/>
        <v>0</v>
      </c>
      <c r="M20" s="206">
        <f t="shared" si="8"/>
        <v>0</v>
      </c>
      <c r="N20" s="206">
        <f t="shared" si="1"/>
        <v>0</v>
      </c>
      <c r="O20" s="206">
        <f t="shared" si="2"/>
        <v>0</v>
      </c>
      <c r="P20" s="206">
        <f t="shared" si="2"/>
        <v>0</v>
      </c>
      <c r="Q20" s="232"/>
      <c r="R20" s="232"/>
      <c r="S20" s="232"/>
      <c r="T20" s="232"/>
      <c r="U20" s="232"/>
      <c r="V20" s="232"/>
      <c r="W20" s="232"/>
      <c r="X20" s="232"/>
      <c r="Y20" s="232"/>
      <c r="Z20" s="232"/>
      <c r="AA20" s="232"/>
      <c r="AB20" s="232"/>
      <c r="AC20" s="232"/>
      <c r="AD20" s="232"/>
      <c r="AE20" s="232"/>
      <c r="AF20" s="232"/>
      <c r="AG20" s="232"/>
    </row>
    <row r="21" spans="2:34">
      <c r="B21" s="175" t="s">
        <v>16</v>
      </c>
      <c r="C21" s="248">
        <f>Sch.!C255/curr</f>
        <v>0</v>
      </c>
      <c r="D21" s="248">
        <f>Sch.!D255/curr</f>
        <v>0</v>
      </c>
      <c r="E21" s="248">
        <f>Sch.!E255/curr</f>
        <v>0</v>
      </c>
      <c r="F21" s="248">
        <f>Sch.!F255/curr</f>
        <v>0</v>
      </c>
      <c r="G21" s="233">
        <f>Sch.!G255/curr</f>
        <v>0</v>
      </c>
      <c r="H21" s="206">
        <f t="shared" si="3"/>
        <v>0</v>
      </c>
      <c r="I21" s="206">
        <f t="shared" si="4"/>
        <v>0</v>
      </c>
      <c r="J21" s="206">
        <f t="shared" si="5"/>
        <v>0</v>
      </c>
      <c r="K21" s="206">
        <f t="shared" si="6"/>
        <v>0</v>
      </c>
      <c r="L21" s="221">
        <f t="shared" si="7"/>
        <v>0</v>
      </c>
      <c r="M21" s="206">
        <f t="shared" si="8"/>
        <v>0</v>
      </c>
      <c r="N21" s="206">
        <f t="shared" si="1"/>
        <v>0</v>
      </c>
      <c r="O21" s="206">
        <f t="shared" si="2"/>
        <v>0</v>
      </c>
      <c r="P21" s="206">
        <f t="shared" si="2"/>
        <v>0</v>
      </c>
      <c r="Q21" s="199"/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</row>
    <row r="22" spans="2:34" ht="16.5" thickBot="1">
      <c r="B22" s="103" t="s">
        <v>19</v>
      </c>
      <c r="C22" s="234">
        <f>C19+C20-C21</f>
        <v>0</v>
      </c>
      <c r="D22" s="234">
        <f>D19+D20-D21</f>
        <v>0</v>
      </c>
      <c r="E22" s="234">
        <f>E19+E20-E21</f>
        <v>0</v>
      </c>
      <c r="F22" s="234">
        <f>F19+F20-F21</f>
        <v>0</v>
      </c>
      <c r="G22" s="235">
        <f>G19+G20-G21</f>
        <v>0</v>
      </c>
      <c r="H22" s="236">
        <f t="shared" si="3"/>
        <v>0</v>
      </c>
      <c r="I22" s="236">
        <f t="shared" si="4"/>
        <v>0</v>
      </c>
      <c r="J22" s="236">
        <f t="shared" si="5"/>
        <v>0</v>
      </c>
      <c r="K22" s="236">
        <f t="shared" si="6"/>
        <v>0</v>
      </c>
      <c r="L22" s="237">
        <f t="shared" si="7"/>
        <v>0</v>
      </c>
      <c r="M22" s="236">
        <f t="shared" si="8"/>
        <v>0</v>
      </c>
      <c r="N22" s="236">
        <f t="shared" si="1"/>
        <v>0</v>
      </c>
      <c r="O22" s="236">
        <f t="shared" si="2"/>
        <v>0</v>
      </c>
      <c r="P22" s="236">
        <f t="shared" si="2"/>
        <v>0</v>
      </c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</row>
    <row r="23" spans="2:34">
      <c r="B23" s="238"/>
      <c r="C23" s="239"/>
      <c r="D23" s="239"/>
      <c r="E23" s="239"/>
      <c r="F23" s="239"/>
      <c r="G23" s="240"/>
      <c r="H23" s="241"/>
      <c r="I23" s="241"/>
      <c r="J23" s="241"/>
      <c r="K23" s="241"/>
      <c r="L23" s="241"/>
      <c r="M23" s="238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</row>
    <row r="24" spans="2:34">
      <c r="B24" s="181" t="s">
        <v>20</v>
      </c>
      <c r="C24" s="178"/>
      <c r="D24" s="178"/>
      <c r="E24" s="45"/>
      <c r="F24" s="178"/>
      <c r="G24" s="178"/>
    </row>
    <row r="25" spans="2:34">
      <c r="B25" s="243" t="s">
        <v>21</v>
      </c>
      <c r="C25" s="244">
        <f t="shared" ref="C25:G25" si="14">C22-C24</f>
        <v>0</v>
      </c>
      <c r="D25" s="244">
        <f t="shared" si="14"/>
        <v>0</v>
      </c>
      <c r="E25" s="244">
        <f t="shared" si="14"/>
        <v>0</v>
      </c>
      <c r="F25" s="244">
        <f t="shared" si="14"/>
        <v>0</v>
      </c>
      <c r="G25" s="244">
        <f t="shared" si="14"/>
        <v>0</v>
      </c>
    </row>
  </sheetData>
  <phoneticPr fontId="15" type="noConversion"/>
  <dataValidations count="1">
    <dataValidation type="list" allowBlank="1" showInputMessage="1" showErrorMessage="1" sqref="B4" xr:uid="{AE7A794A-20DD-4324-97E8-3CD3704DDBAD}">
      <formula1>$AH$5:$AH$7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2:G40"/>
  <sheetViews>
    <sheetView showGridLines="0" zoomScale="86" zoomScaleNormal="86" workbookViewId="0">
      <selection activeCell="G5" sqref="G5"/>
    </sheetView>
  </sheetViews>
  <sheetFormatPr defaultColWidth="8.453125" defaultRowHeight="15" customHeight="1"/>
  <cols>
    <col min="1" max="1" width="3" style="41" bestFit="1" customWidth="1"/>
    <col min="2" max="2" width="32.54296875" style="41" customWidth="1"/>
    <col min="3" max="6" width="11.1796875" style="41" bestFit="1" customWidth="1"/>
    <col min="7" max="7" width="13.6328125" style="41" bestFit="1" customWidth="1"/>
    <col min="8" max="16384" width="8.453125" style="41"/>
  </cols>
  <sheetData>
    <row r="2" spans="2:7" ht="15" customHeight="1">
      <c r="B2" s="100" t="str">
        <f>IS!B2</f>
        <v>Name</v>
      </c>
      <c r="C2" s="43"/>
    </row>
    <row r="3" spans="2:7" ht="15" customHeight="1">
      <c r="B3" s="54" t="s">
        <v>22</v>
      </c>
    </row>
    <row r="4" spans="2:7" ht="15" customHeight="1">
      <c r="B4" s="60" t="str">
        <f>IS!B4</f>
        <v>INR million</v>
      </c>
    </row>
    <row r="5" spans="2:7" ht="15" customHeight="1">
      <c r="B5" s="151" t="s">
        <v>5</v>
      </c>
      <c r="C5" s="152" t="s">
        <v>23</v>
      </c>
      <c r="D5" s="152" t="s">
        <v>236</v>
      </c>
      <c r="E5" s="152" t="s">
        <v>253</v>
      </c>
      <c r="F5" s="152" t="s">
        <v>256</v>
      </c>
      <c r="G5" s="152" t="s">
        <v>257</v>
      </c>
    </row>
    <row r="6" spans="2:7" ht="15" customHeight="1">
      <c r="B6" s="53" t="s">
        <v>24</v>
      </c>
      <c r="C6" s="44"/>
      <c r="D6" s="44"/>
      <c r="E6" s="1"/>
      <c r="F6" s="1"/>
      <c r="G6" s="1"/>
    </row>
    <row r="7" spans="2:7" ht="15" customHeight="1">
      <c r="B7" s="54" t="s">
        <v>25</v>
      </c>
      <c r="C7" s="46"/>
      <c r="D7" s="46"/>
      <c r="E7" s="1"/>
      <c r="F7" s="1"/>
      <c r="G7" s="1"/>
    </row>
    <row r="8" spans="2:7" ht="15" customHeight="1">
      <c r="B8" s="55" t="s">
        <v>26</v>
      </c>
      <c r="C8" s="45">
        <f>((Sch.!C11))/(curr)</f>
        <v>0</v>
      </c>
      <c r="D8" s="45">
        <f>((Sch.!D11))/(curr)</f>
        <v>0</v>
      </c>
      <c r="E8" s="45">
        <f>((Sch.!E11))/(curr)</f>
        <v>0</v>
      </c>
      <c r="F8" s="45">
        <f>((Sch.!F11))/(curr)</f>
        <v>0</v>
      </c>
      <c r="G8" s="45">
        <f>((Sch.!G11))/(curr)</f>
        <v>0</v>
      </c>
    </row>
    <row r="9" spans="2:7" ht="15" customHeight="1">
      <c r="B9" s="55" t="s">
        <v>27</v>
      </c>
      <c r="C9" s="45">
        <f>(Sch.!C22)/(curr)</f>
        <v>0</v>
      </c>
      <c r="D9" s="45">
        <f>(Sch.!D22)/(curr)</f>
        <v>0</v>
      </c>
      <c r="E9" s="45">
        <f>(Sch.!E22)/(curr)</f>
        <v>0</v>
      </c>
      <c r="F9" s="45">
        <f>(Sch.!F22)/(curr)</f>
        <v>0</v>
      </c>
      <c r="G9" s="45">
        <f>(Sch.!G22)/(curr)</f>
        <v>0</v>
      </c>
    </row>
    <row r="10" spans="2:7" ht="15" customHeight="1">
      <c r="B10" s="56" t="s">
        <v>28</v>
      </c>
      <c r="C10" s="47">
        <f>SUM(C8:C9)</f>
        <v>0</v>
      </c>
      <c r="D10" s="47">
        <f t="shared" ref="D10:F10" si="0">SUM(D8:D9)</f>
        <v>0</v>
      </c>
      <c r="E10" s="47">
        <f t="shared" si="0"/>
        <v>0</v>
      </c>
      <c r="F10" s="47">
        <f t="shared" si="0"/>
        <v>0</v>
      </c>
      <c r="G10" s="47">
        <f t="shared" ref="G10" si="1">SUM(G8:G9)</f>
        <v>0</v>
      </c>
    </row>
    <row r="11" spans="2:7" ht="15" customHeight="1">
      <c r="B11" s="58" t="s">
        <v>169</v>
      </c>
      <c r="C11" s="45">
        <f>Sch.!C39/curr</f>
        <v>0</v>
      </c>
      <c r="D11" s="45">
        <f>Sch.!D39/curr</f>
        <v>0</v>
      </c>
      <c r="E11" s="45">
        <f>Sch.!E39/curr</f>
        <v>0</v>
      </c>
      <c r="F11" s="45">
        <f>Sch.!F39/curr</f>
        <v>0</v>
      </c>
      <c r="G11" s="45">
        <f>Sch.!G39/curr</f>
        <v>0</v>
      </c>
    </row>
    <row r="12" spans="2:7" ht="15" customHeight="1">
      <c r="B12" s="58" t="s">
        <v>171</v>
      </c>
      <c r="C12" s="45">
        <f>Sch.!C60/curr</f>
        <v>0</v>
      </c>
      <c r="D12" s="45">
        <f>Sch.!D60/curr</f>
        <v>0</v>
      </c>
      <c r="E12" s="45">
        <f>Sch.!E60/curr</f>
        <v>0</v>
      </c>
      <c r="F12" s="45">
        <f>Sch.!F60/curr</f>
        <v>0</v>
      </c>
      <c r="G12" s="45">
        <f>Sch.!G60/curr</f>
        <v>0</v>
      </c>
    </row>
    <row r="13" spans="2:7" ht="15" customHeight="1">
      <c r="B13" s="57" t="s">
        <v>205</v>
      </c>
      <c r="C13" s="48">
        <f>SUM(C11:C12)</f>
        <v>0</v>
      </c>
      <c r="D13" s="48">
        <f t="shared" ref="D13:G13" si="2">SUM(D11:D12)</f>
        <v>0</v>
      </c>
      <c r="E13" s="48">
        <f t="shared" si="2"/>
        <v>0</v>
      </c>
      <c r="F13" s="48">
        <f t="shared" si="2"/>
        <v>0</v>
      </c>
      <c r="G13" s="48">
        <f t="shared" si="2"/>
        <v>0</v>
      </c>
    </row>
    <row r="14" spans="2:7" ht="15" customHeight="1" thickBot="1">
      <c r="B14" s="104" t="s">
        <v>33</v>
      </c>
      <c r="C14" s="105">
        <f>C10+C13</f>
        <v>0</v>
      </c>
      <c r="D14" s="105">
        <f t="shared" ref="D14:G14" si="3">D10+D13</f>
        <v>0</v>
      </c>
      <c r="E14" s="105">
        <f t="shared" si="3"/>
        <v>0</v>
      </c>
      <c r="F14" s="105">
        <f t="shared" si="3"/>
        <v>0</v>
      </c>
      <c r="G14" s="105">
        <f t="shared" si="3"/>
        <v>0</v>
      </c>
    </row>
    <row r="15" spans="2:7" ht="15" customHeight="1">
      <c r="B15" s="148" t="s">
        <v>34</v>
      </c>
      <c r="C15" s="44"/>
      <c r="D15" s="44"/>
      <c r="E15" s="40"/>
      <c r="F15" s="40"/>
      <c r="G15" s="40"/>
    </row>
    <row r="16" spans="2:7" ht="15" customHeight="1">
      <c r="B16" s="98" t="s">
        <v>36</v>
      </c>
      <c r="C16" s="45">
        <f>Sch.!C104/curr</f>
        <v>0</v>
      </c>
      <c r="D16" s="45">
        <f>Sch.!D104/curr</f>
        <v>0</v>
      </c>
      <c r="E16" s="45">
        <f>Sch.!E104/curr</f>
        <v>0</v>
      </c>
      <c r="F16" s="45">
        <f>Sch.!F104/curr</f>
        <v>0</v>
      </c>
      <c r="G16" s="45">
        <f>Sch.!G104/curr</f>
        <v>0</v>
      </c>
    </row>
    <row r="17" spans="2:7" ht="15" customHeight="1">
      <c r="B17" s="98" t="s">
        <v>189</v>
      </c>
      <c r="C17" s="45">
        <f>Sch.!C156/curr</f>
        <v>0</v>
      </c>
      <c r="D17" s="45">
        <f>Sch.!D156/curr</f>
        <v>0</v>
      </c>
      <c r="E17" s="45">
        <f>Sch.!E156/curr</f>
        <v>0</v>
      </c>
      <c r="F17" s="45">
        <f>Sch.!F156/curr</f>
        <v>0</v>
      </c>
      <c r="G17" s="45">
        <f>Sch.!G156/curr</f>
        <v>0</v>
      </c>
    </row>
    <row r="18" spans="2:7" ht="15" customHeight="1">
      <c r="B18" s="98" t="s">
        <v>232</v>
      </c>
      <c r="C18" s="45">
        <f>Sch.!C120/curr</f>
        <v>0</v>
      </c>
      <c r="D18" s="45">
        <f>Sch.!D120/curr</f>
        <v>0</v>
      </c>
      <c r="E18" s="45">
        <f>Sch.!E120/curr</f>
        <v>0</v>
      </c>
      <c r="F18" s="45">
        <f>Sch.!F120/curr</f>
        <v>0</v>
      </c>
      <c r="G18" s="45">
        <f>Sch.!G120/curr</f>
        <v>0</v>
      </c>
    </row>
    <row r="19" spans="2:7" ht="15" customHeight="1">
      <c r="B19" s="160" t="s">
        <v>38</v>
      </c>
      <c r="C19" s="99">
        <f>((Sch.!C150))/(curr)</f>
        <v>0</v>
      </c>
      <c r="D19" s="99">
        <f>((Sch.!D150))/(curr)</f>
        <v>0</v>
      </c>
      <c r="E19" s="99">
        <f>((Sch.!E150))/(curr)</f>
        <v>0</v>
      </c>
      <c r="F19" s="99">
        <f>((Sch.!F150))/(curr)</f>
        <v>0</v>
      </c>
      <c r="G19" s="99">
        <f>((Sch.!G150))/(curr)</f>
        <v>0</v>
      </c>
    </row>
    <row r="20" spans="2:7" ht="15" customHeight="1">
      <c r="B20" s="146" t="s">
        <v>41</v>
      </c>
      <c r="C20" s="45"/>
      <c r="D20" s="45"/>
      <c r="E20" s="45"/>
      <c r="F20" s="45"/>
      <c r="G20" s="45"/>
    </row>
    <row r="21" spans="2:7" ht="15" customHeight="1">
      <c r="B21" s="160" t="s">
        <v>37</v>
      </c>
      <c r="C21" s="99">
        <f>((Sch.!C130))/(curr)</f>
        <v>0</v>
      </c>
      <c r="D21" s="99">
        <f>((Sch.!D130))/(curr)</f>
        <v>0</v>
      </c>
      <c r="E21" s="99">
        <f>((Sch.!E130))/(curr)</f>
        <v>0</v>
      </c>
      <c r="F21" s="99">
        <f>((Sch.!F130))/(curr)</f>
        <v>0</v>
      </c>
      <c r="G21" s="99">
        <f>((Sch.!G130))/(curr)</f>
        <v>0</v>
      </c>
    </row>
    <row r="22" spans="2:7" ht="15" customHeight="1">
      <c r="B22" s="160" t="s">
        <v>193</v>
      </c>
      <c r="C22" s="99">
        <f>Sch.!C141/curr</f>
        <v>0</v>
      </c>
      <c r="D22" s="99">
        <f>Sch.!D141/curr</f>
        <v>0</v>
      </c>
      <c r="E22" s="99">
        <f>Sch.!E141/curr</f>
        <v>0</v>
      </c>
      <c r="F22" s="99">
        <f>Sch.!F141/curr</f>
        <v>0</v>
      </c>
      <c r="G22" s="99">
        <f>Sch.!G141/curr</f>
        <v>0</v>
      </c>
    </row>
    <row r="23" spans="2:7" ht="15" customHeight="1">
      <c r="B23" s="98" t="s">
        <v>190</v>
      </c>
      <c r="C23" s="45">
        <f>Sch.!C111/curr</f>
        <v>0</v>
      </c>
      <c r="D23" s="45">
        <f>Sch.!D111/curr</f>
        <v>0</v>
      </c>
      <c r="E23" s="45">
        <f>Sch.!E111/curr</f>
        <v>0</v>
      </c>
      <c r="F23" s="45">
        <f>Sch.!F111/curr</f>
        <v>0</v>
      </c>
      <c r="G23" s="45">
        <f>Sch.!G111/curr</f>
        <v>0</v>
      </c>
    </row>
    <row r="24" spans="2:7" ht="15" customHeight="1">
      <c r="B24" s="55" t="s">
        <v>39</v>
      </c>
      <c r="C24" s="45">
        <f>(Sch.!C166)/(curr)</f>
        <v>0</v>
      </c>
      <c r="D24" s="45">
        <f>(Sch.!D166)/(curr)</f>
        <v>0</v>
      </c>
      <c r="E24" s="45">
        <f>(Sch.!E166)/(curr)</f>
        <v>0</v>
      </c>
      <c r="F24" s="45">
        <f>(Sch.!F166)/(curr)</f>
        <v>0</v>
      </c>
      <c r="G24" s="45">
        <f>(Sch.!G166)/(curr)</f>
        <v>0</v>
      </c>
    </row>
    <row r="25" spans="2:7" ht="15" customHeight="1">
      <c r="B25" s="55" t="s">
        <v>40</v>
      </c>
      <c r="C25" s="45">
        <f>(Sch.!C177)/(curr)</f>
        <v>0</v>
      </c>
      <c r="D25" s="45">
        <f>(Sch.!D177)/(curr)</f>
        <v>0</v>
      </c>
      <c r="E25" s="45">
        <f>(Sch.!E177)/(curr)</f>
        <v>0</v>
      </c>
      <c r="F25" s="45">
        <f>(Sch.!F177)/(curr)</f>
        <v>0</v>
      </c>
      <c r="G25" s="45">
        <f>(Sch.!G177)/(curr)</f>
        <v>0</v>
      </c>
    </row>
    <row r="26" spans="2:7" s="111" customFormat="1" ht="15" customHeight="1">
      <c r="B26" s="162" t="s">
        <v>41</v>
      </c>
      <c r="C26" s="163">
        <f>SUM(C21:C25)</f>
        <v>0</v>
      </c>
      <c r="D26" s="163">
        <f t="shared" ref="D26:G26" si="4">SUM(D21:D25)</f>
        <v>0</v>
      </c>
      <c r="E26" s="163">
        <f t="shared" si="4"/>
        <v>0</v>
      </c>
      <c r="F26" s="163">
        <f t="shared" si="4"/>
        <v>0</v>
      </c>
      <c r="G26" s="163">
        <f t="shared" si="4"/>
        <v>0</v>
      </c>
    </row>
    <row r="27" spans="2:7" s="111" customFormat="1" ht="15" customHeight="1">
      <c r="B27" s="147" t="s">
        <v>223</v>
      </c>
      <c r="C27" s="112"/>
      <c r="D27" s="112"/>
      <c r="E27" s="112"/>
      <c r="F27" s="112"/>
      <c r="G27" s="112"/>
    </row>
    <row r="28" spans="2:7" ht="15" customHeight="1">
      <c r="B28" s="161" t="s">
        <v>29</v>
      </c>
      <c r="C28" s="99">
        <f>(Sch.!C49)/(curr)</f>
        <v>0</v>
      </c>
      <c r="D28" s="99">
        <f>(Sch.!D49)/(curr)</f>
        <v>0</v>
      </c>
      <c r="E28" s="99">
        <f>(Sch.!E49)/(curr)</f>
        <v>0</v>
      </c>
      <c r="F28" s="99">
        <f>(Sch.!F49)/(curr)</f>
        <v>0</v>
      </c>
      <c r="G28" s="99">
        <f>(Sch.!G49)/(curr)</f>
        <v>0</v>
      </c>
    </row>
    <row r="29" spans="2:7" ht="15" customHeight="1">
      <c r="B29" s="59" t="s">
        <v>31</v>
      </c>
      <c r="C29" s="45">
        <f>(Sch.!C85)/(curr)</f>
        <v>0</v>
      </c>
      <c r="D29" s="45">
        <f>(Sch.!D85)/(curr)</f>
        <v>0</v>
      </c>
      <c r="E29" s="45">
        <f>(Sch.!E85)/(curr)</f>
        <v>0</v>
      </c>
      <c r="F29" s="45">
        <f>(Sch.!F85)/(curr)</f>
        <v>0</v>
      </c>
      <c r="G29" s="45">
        <f>(Sch.!G85)/(curr)</f>
        <v>0</v>
      </c>
    </row>
    <row r="30" spans="2:7" ht="15" customHeight="1">
      <c r="B30" s="58" t="s">
        <v>168</v>
      </c>
      <c r="C30" s="45">
        <f>Sch.!C30/curr</f>
        <v>0</v>
      </c>
      <c r="D30" s="45">
        <f>Sch.!D30/curr</f>
        <v>0</v>
      </c>
      <c r="E30" s="45">
        <f>Sch.!E30/curr</f>
        <v>0</v>
      </c>
      <c r="F30" s="45">
        <f>Sch.!F30/curr</f>
        <v>0</v>
      </c>
      <c r="G30" s="45">
        <f>Sch.!G30/curr</f>
        <v>0</v>
      </c>
    </row>
    <row r="31" spans="2:7" ht="15" customHeight="1">
      <c r="B31" s="58" t="s">
        <v>170</v>
      </c>
      <c r="C31" s="45">
        <f>(Sch.!C70)/(curr)</f>
        <v>0</v>
      </c>
      <c r="D31" s="45">
        <f>(Sch.!D70)/(curr)</f>
        <v>0</v>
      </c>
      <c r="E31" s="45">
        <f>(Sch.!E70)/(curr)</f>
        <v>0</v>
      </c>
      <c r="F31" s="45">
        <f>(Sch.!F70)/(curr)</f>
        <v>0</v>
      </c>
      <c r="G31" s="45">
        <f>(Sch.!G70)/(curr)</f>
        <v>0</v>
      </c>
    </row>
    <row r="32" spans="2:7" s="111" customFormat="1" ht="15" customHeight="1">
      <c r="B32" s="164" t="s">
        <v>32</v>
      </c>
      <c r="C32" s="165">
        <f>SUM(C28:C31)</f>
        <v>0</v>
      </c>
      <c r="D32" s="165">
        <f t="shared" ref="D32:G32" si="5">SUM(D28:D31)</f>
        <v>0</v>
      </c>
      <c r="E32" s="165">
        <f t="shared" si="5"/>
        <v>0</v>
      </c>
      <c r="F32" s="165">
        <f t="shared" si="5"/>
        <v>0</v>
      </c>
      <c r="G32" s="165">
        <f t="shared" si="5"/>
        <v>0</v>
      </c>
    </row>
    <row r="33" spans="2:7" ht="15" customHeight="1">
      <c r="B33" s="57" t="s">
        <v>206</v>
      </c>
      <c r="C33" s="47">
        <f>C26-C32</f>
        <v>0</v>
      </c>
      <c r="D33" s="47">
        <f t="shared" ref="D33:G33" si="6">D26-D32</f>
        <v>0</v>
      </c>
      <c r="E33" s="47">
        <f t="shared" si="6"/>
        <v>0</v>
      </c>
      <c r="F33" s="47">
        <f t="shared" si="6"/>
        <v>0</v>
      </c>
      <c r="G33" s="47">
        <f t="shared" si="6"/>
        <v>0</v>
      </c>
    </row>
    <row r="34" spans="2:7" ht="15" customHeight="1" thickBot="1">
      <c r="B34" s="104" t="s">
        <v>33</v>
      </c>
      <c r="C34" s="105">
        <f>SUM(C16:C19,C33)</f>
        <v>0</v>
      </c>
      <c r="D34" s="105">
        <f t="shared" ref="D34:G34" si="7">SUM(D16:D19,D33)</f>
        <v>0</v>
      </c>
      <c r="E34" s="105">
        <f t="shared" si="7"/>
        <v>0</v>
      </c>
      <c r="F34" s="105">
        <f t="shared" si="7"/>
        <v>0</v>
      </c>
      <c r="G34" s="105">
        <f t="shared" si="7"/>
        <v>0</v>
      </c>
    </row>
    <row r="36" spans="2:7" ht="15" customHeight="1">
      <c r="B36" s="42" t="s">
        <v>42</v>
      </c>
      <c r="C36" s="49">
        <f>C14-C34</f>
        <v>0</v>
      </c>
      <c r="D36" s="49">
        <f t="shared" ref="D36:G36" si="8">D14-D34</f>
        <v>0</v>
      </c>
      <c r="E36" s="49">
        <f t="shared" si="8"/>
        <v>0</v>
      </c>
      <c r="F36" s="49">
        <f t="shared" si="8"/>
        <v>0</v>
      </c>
      <c r="G36" s="49">
        <f t="shared" si="8"/>
        <v>0</v>
      </c>
    </row>
    <row r="37" spans="2:7" ht="15" customHeight="1">
      <c r="C37" s="43"/>
      <c r="D37" s="43"/>
    </row>
    <row r="38" spans="2:7" ht="15" customHeight="1">
      <c r="C38" s="43"/>
      <c r="D38" s="43"/>
    </row>
    <row r="39" spans="2:7" ht="15" customHeight="1">
      <c r="C39" s="43"/>
      <c r="D39" s="43"/>
    </row>
    <row r="40" spans="2:7" ht="15" customHeight="1">
      <c r="C40" s="43"/>
      <c r="D40" s="43"/>
    </row>
  </sheetData>
  <phoneticPr fontId="15" type="noConversion"/>
  <pageMargins left="0.7" right="0.7" top="0.75" bottom="0.75" header="0.3" footer="0.3"/>
  <pageSetup paperSize="9" orientation="portrait" r:id="rId1"/>
  <ignoredErrors>
    <ignoredError sqref="B5:G5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F35"/>
  <sheetViews>
    <sheetView showGridLines="0" topLeftCell="A8" zoomScale="96" zoomScaleNormal="57" workbookViewId="0">
      <selection activeCell="C24" sqref="C24"/>
    </sheetView>
  </sheetViews>
  <sheetFormatPr defaultColWidth="8.453125" defaultRowHeight="16"/>
  <cols>
    <col min="1" max="1" width="3" style="7" customWidth="1"/>
    <col min="2" max="2" width="47.453125" style="7" bestFit="1" customWidth="1"/>
    <col min="3" max="4" width="7.81640625" style="37" bestFit="1" customWidth="1"/>
    <col min="5" max="5" width="7.36328125" style="37" bestFit="1" customWidth="1"/>
    <col min="6" max="16384" width="8.453125" style="7"/>
  </cols>
  <sheetData>
    <row r="2" spans="2:6">
      <c r="B2" s="9" t="str">
        <f>IS!B2</f>
        <v>Name</v>
      </c>
    </row>
    <row r="3" spans="2:6">
      <c r="B3" s="9" t="s">
        <v>43</v>
      </c>
    </row>
    <row r="4" spans="2:6">
      <c r="B4" s="12" t="str">
        <f>IS!B4</f>
        <v>INR million</v>
      </c>
    </row>
    <row r="5" spans="2:6" ht="14.5" customHeight="1">
      <c r="B5" s="149" t="s">
        <v>5</v>
      </c>
      <c r="C5" s="150" t="str">
        <f>IS!D5</f>
        <v>FY23</v>
      </c>
      <c r="D5" s="150" t="str">
        <f>IS!E5</f>
        <v>FY24</v>
      </c>
      <c r="E5" s="150" t="str">
        <f>IS!F5</f>
        <v>FY25</v>
      </c>
      <c r="F5" s="150" t="str">
        <f>IS!G5</f>
        <v>FY26</v>
      </c>
    </row>
    <row r="6" spans="2:6">
      <c r="B6" s="9" t="s">
        <v>44</v>
      </c>
      <c r="F6" s="37"/>
    </row>
    <row r="7" spans="2:6">
      <c r="B7" s="13" t="s">
        <v>45</v>
      </c>
      <c r="C7" s="153">
        <f>IS!D22</f>
        <v>0</v>
      </c>
      <c r="D7" s="153">
        <f>IS!E22</f>
        <v>0</v>
      </c>
      <c r="E7" s="153">
        <f>IS!F22</f>
        <v>0</v>
      </c>
      <c r="F7" s="153">
        <f>IS!G22</f>
        <v>0</v>
      </c>
    </row>
    <row r="8" spans="2:6">
      <c r="B8" s="14" t="s">
        <v>15</v>
      </c>
      <c r="C8" s="153">
        <f>IS!D17</f>
        <v>0</v>
      </c>
      <c r="D8" s="153">
        <f>IS!E17</f>
        <v>0</v>
      </c>
      <c r="E8" s="153">
        <f>IS!F17</f>
        <v>0</v>
      </c>
      <c r="F8" s="153">
        <f>IS!G17</f>
        <v>0</v>
      </c>
    </row>
    <row r="9" spans="2:6">
      <c r="B9" s="10" t="s">
        <v>46</v>
      </c>
      <c r="C9" s="154">
        <f>SUM(C7:C8)</f>
        <v>0</v>
      </c>
      <c r="D9" s="154">
        <f t="shared" ref="D9:F9" si="0">SUM(D7:D8)</f>
        <v>0</v>
      </c>
      <c r="E9" s="154">
        <f t="shared" si="0"/>
        <v>0</v>
      </c>
      <c r="F9" s="154">
        <f t="shared" si="0"/>
        <v>0</v>
      </c>
    </row>
    <row r="10" spans="2:6">
      <c r="B10" s="14" t="s">
        <v>47</v>
      </c>
      <c r="C10" s="153">
        <f>BS!C21-BS!D21</f>
        <v>0</v>
      </c>
      <c r="D10" s="153">
        <f>BS!D21-BS!E21</f>
        <v>0</v>
      </c>
      <c r="E10" s="153">
        <f>BS!E21-BS!F21</f>
        <v>0</v>
      </c>
      <c r="F10" s="153">
        <f>BS!F21-BS!G21</f>
        <v>0</v>
      </c>
    </row>
    <row r="11" spans="2:6">
      <c r="B11" s="6" t="s">
        <v>48</v>
      </c>
      <c r="C11" s="153">
        <f>+BS!C24-BS!D24</f>
        <v>0</v>
      </c>
      <c r="D11" s="153">
        <f>+BS!D24-BS!E24</f>
        <v>0</v>
      </c>
      <c r="E11" s="153">
        <f>+BS!E24-BS!F24</f>
        <v>0</v>
      </c>
      <c r="F11" s="153">
        <f>+BS!F24-BS!G24</f>
        <v>0</v>
      </c>
    </row>
    <row r="12" spans="2:6">
      <c r="B12" s="6" t="s">
        <v>49</v>
      </c>
      <c r="C12" s="153">
        <f>BS!C25-BS!D25</f>
        <v>0</v>
      </c>
      <c r="D12" s="153">
        <f>BS!D25-BS!E25</f>
        <v>0</v>
      </c>
      <c r="E12" s="153">
        <f>BS!E25-BS!F25</f>
        <v>0</v>
      </c>
      <c r="F12" s="153">
        <f>BS!F25-BS!G25</f>
        <v>0</v>
      </c>
    </row>
    <row r="13" spans="2:6">
      <c r="B13" s="14" t="s">
        <v>225</v>
      </c>
      <c r="C13" s="153">
        <f>BS!C22-BS!D22</f>
        <v>0</v>
      </c>
      <c r="D13" s="153">
        <f>BS!D22-BS!E22</f>
        <v>0</v>
      </c>
      <c r="E13" s="153">
        <f>BS!E22-BS!F22</f>
        <v>0</v>
      </c>
      <c r="F13" s="153">
        <f>BS!F22-BS!G22</f>
        <v>0</v>
      </c>
    </row>
    <row r="14" spans="2:6">
      <c r="B14" s="14" t="s">
        <v>224</v>
      </c>
      <c r="C14" s="153">
        <f>BS!C23-BS!D23</f>
        <v>0</v>
      </c>
      <c r="D14" s="153">
        <f>BS!D23-BS!E23</f>
        <v>0</v>
      </c>
      <c r="E14" s="153">
        <f>BS!E23-BS!F23</f>
        <v>0</v>
      </c>
      <c r="F14" s="153">
        <f>BS!F23-BS!G23</f>
        <v>0</v>
      </c>
    </row>
    <row r="15" spans="2:6">
      <c r="B15" s="14" t="s">
        <v>204</v>
      </c>
      <c r="C15" s="155">
        <f>BS!C17-BS!D17</f>
        <v>0</v>
      </c>
      <c r="D15" s="155">
        <f>BS!D17-BS!E17</f>
        <v>0</v>
      </c>
      <c r="E15" s="155">
        <f>BS!E17-BS!F17</f>
        <v>0</v>
      </c>
      <c r="F15" s="155">
        <f>BS!F17-BS!G17</f>
        <v>0</v>
      </c>
    </row>
    <row r="16" spans="2:6">
      <c r="B16" s="14" t="s">
        <v>50</v>
      </c>
      <c r="C16" s="153">
        <f>BS!D28-BS!C28</f>
        <v>0</v>
      </c>
      <c r="D16" s="153">
        <f>BS!E28-BS!D28</f>
        <v>0</v>
      </c>
      <c r="E16" s="153">
        <f>BS!F28-BS!E28</f>
        <v>0</v>
      </c>
      <c r="F16" s="153">
        <f>BS!G28-BS!F28</f>
        <v>0</v>
      </c>
    </row>
    <row r="17" spans="2:6">
      <c r="B17" s="14" t="s">
        <v>51</v>
      </c>
      <c r="C17" s="153">
        <f>BS!D29-BS!C29</f>
        <v>0</v>
      </c>
      <c r="D17" s="153">
        <f>BS!E29-BS!D29</f>
        <v>0</v>
      </c>
      <c r="E17" s="153">
        <f>BS!F29-BS!E29</f>
        <v>0</v>
      </c>
      <c r="F17" s="153">
        <f>BS!G29-BS!F29</f>
        <v>0</v>
      </c>
    </row>
    <row r="18" spans="2:6">
      <c r="B18" s="14" t="s">
        <v>52</v>
      </c>
      <c r="C18" s="153">
        <f>BS!D31-BS!C31</f>
        <v>0</v>
      </c>
      <c r="D18" s="153">
        <f>BS!E31-BS!D31</f>
        <v>0</v>
      </c>
      <c r="E18" s="153">
        <f>BS!F31-BS!E31</f>
        <v>0</v>
      </c>
      <c r="F18" s="153">
        <f>BS!G31-BS!F31</f>
        <v>0</v>
      </c>
    </row>
    <row r="19" spans="2:6">
      <c r="B19" s="14" t="s">
        <v>200</v>
      </c>
      <c r="C19" s="153">
        <f>BS!D30-BS!C30</f>
        <v>0</v>
      </c>
      <c r="D19" s="153">
        <f>BS!E30-BS!D30</f>
        <v>0</v>
      </c>
      <c r="E19" s="153">
        <f>BS!F30-BS!E30</f>
        <v>0</v>
      </c>
      <c r="F19" s="153">
        <f>BS!G30-BS!F30</f>
        <v>0</v>
      </c>
    </row>
    <row r="20" spans="2:6">
      <c r="B20" s="106" t="s">
        <v>53</v>
      </c>
      <c r="C20" s="156">
        <f>SUM(C9:C19)</f>
        <v>0</v>
      </c>
      <c r="D20" s="156">
        <f>SUM(D9:D19)</f>
        <v>0</v>
      </c>
      <c r="E20" s="156">
        <f>SUM(E9:E19)</f>
        <v>0</v>
      </c>
      <c r="F20" s="156">
        <f>SUM(F9:F19)</f>
        <v>0</v>
      </c>
    </row>
    <row r="21" spans="2:6">
      <c r="B21" s="9" t="s">
        <v>54</v>
      </c>
      <c r="C21" s="153"/>
      <c r="D21" s="153"/>
      <c r="E21" s="153"/>
      <c r="F21" s="153"/>
    </row>
    <row r="22" spans="2:6">
      <c r="B22" s="14" t="s">
        <v>55</v>
      </c>
      <c r="C22" s="157">
        <f>BS!C16-BS!D16-IS!D17</f>
        <v>0</v>
      </c>
      <c r="D22" s="157">
        <f>BS!D16-IS!E17-BS!E16</f>
        <v>0</v>
      </c>
      <c r="E22" s="157">
        <f>BS!E16-IS!F17-BS!F16</f>
        <v>0</v>
      </c>
      <c r="F22" s="157">
        <f>BS!F16-IS!G17-BS!G16</f>
        <v>0</v>
      </c>
    </row>
    <row r="23" spans="2:6">
      <c r="B23" s="14" t="s">
        <v>203</v>
      </c>
      <c r="C23" s="157">
        <f>BS!C18-BS!D18</f>
        <v>0</v>
      </c>
      <c r="D23" s="157">
        <f>BS!D18-BS!E18</f>
        <v>0</v>
      </c>
      <c r="E23" s="157">
        <f>BS!E18-BS!F18</f>
        <v>0</v>
      </c>
      <c r="F23" s="157">
        <f>BS!F18-BS!G18</f>
        <v>0</v>
      </c>
    </row>
    <row r="24" spans="2:6">
      <c r="B24" s="106" t="s">
        <v>56</v>
      </c>
      <c r="C24" s="156">
        <f>SUM(C22:C23)</f>
        <v>0</v>
      </c>
      <c r="D24" s="156">
        <f>SUM(D22:D23)</f>
        <v>0</v>
      </c>
      <c r="E24" s="156">
        <f>SUM(E22:E23)</f>
        <v>0</v>
      </c>
      <c r="F24" s="156">
        <f>SUM(F22:F23)</f>
        <v>0</v>
      </c>
    </row>
    <row r="25" spans="2:6">
      <c r="B25" s="9" t="s">
        <v>57</v>
      </c>
      <c r="C25" s="153"/>
      <c r="D25" s="153"/>
      <c r="E25" s="153"/>
      <c r="F25" s="153"/>
    </row>
    <row r="26" spans="2:6">
      <c r="B26" s="7" t="s">
        <v>226</v>
      </c>
      <c r="C26" s="153">
        <f>BS!D9-BS!C9-IS!D22</f>
        <v>0</v>
      </c>
      <c r="D26" s="153">
        <f>BS!E9-BS!D9-IS!E22</f>
        <v>0</v>
      </c>
      <c r="E26" s="153">
        <f>BS!F9-BS!E9-IS!F22</f>
        <v>0</v>
      </c>
      <c r="F26" s="153">
        <f>BS!G9-BS!F9-IS!G22</f>
        <v>0</v>
      </c>
    </row>
    <row r="27" spans="2:6">
      <c r="B27" s="14" t="s">
        <v>201</v>
      </c>
      <c r="C27" s="153">
        <f>BS!D11-BS!C11</f>
        <v>0</v>
      </c>
      <c r="D27" s="153">
        <f>BS!E11-BS!D11</f>
        <v>0</v>
      </c>
      <c r="E27" s="153">
        <f>BS!F11-BS!E11</f>
        <v>0</v>
      </c>
      <c r="F27" s="153">
        <f>BS!G11-BS!F11</f>
        <v>0</v>
      </c>
    </row>
    <row r="28" spans="2:6">
      <c r="B28" s="14" t="s">
        <v>202</v>
      </c>
      <c r="C28" s="153">
        <f>BS!D12-BS!C12</f>
        <v>0</v>
      </c>
      <c r="D28" s="153">
        <f>BS!E12-BS!D12</f>
        <v>0</v>
      </c>
      <c r="E28" s="153">
        <f>BS!F12-BS!E12</f>
        <v>0</v>
      </c>
      <c r="F28" s="153">
        <f>BS!G12-BS!F12</f>
        <v>0</v>
      </c>
    </row>
    <row r="29" spans="2:6">
      <c r="B29" s="107" t="s">
        <v>58</v>
      </c>
      <c r="C29" s="156">
        <f>SUM(C26:C28)</f>
        <v>0</v>
      </c>
      <c r="D29" s="156">
        <f>SUM(D26:D28)</f>
        <v>0</v>
      </c>
      <c r="E29" s="156">
        <f>SUM(E26:E28)</f>
        <v>0</v>
      </c>
      <c r="F29" s="156">
        <f>SUM(F26:F28)</f>
        <v>0</v>
      </c>
    </row>
    <row r="30" spans="2:6">
      <c r="B30" s="108" t="s">
        <v>59</v>
      </c>
      <c r="C30" s="158">
        <f>C20+C24+C29</f>
        <v>0</v>
      </c>
      <c r="D30" s="158">
        <f>D20+D24+D29</f>
        <v>0</v>
      </c>
      <c r="E30" s="158">
        <f>E20+E24+E29</f>
        <v>0</v>
      </c>
      <c r="F30" s="158">
        <f>F20+F24+F29</f>
        <v>0</v>
      </c>
    </row>
    <row r="31" spans="2:6">
      <c r="B31" s="15" t="s">
        <v>60</v>
      </c>
      <c r="C31" s="153">
        <f>BS!C19</f>
        <v>0</v>
      </c>
      <c r="D31" s="153">
        <f>BS!D19</f>
        <v>0</v>
      </c>
      <c r="E31" s="153">
        <f>BS!E19</f>
        <v>0</v>
      </c>
      <c r="F31" s="153">
        <f>BS!F19</f>
        <v>0</v>
      </c>
    </row>
    <row r="32" spans="2:6" ht="16.5" thickBot="1">
      <c r="B32" s="109" t="s">
        <v>61</v>
      </c>
      <c r="C32" s="159">
        <f>SUM(C30:C31)</f>
        <v>0</v>
      </c>
      <c r="D32" s="159">
        <f>SUM(D30:D31)</f>
        <v>0</v>
      </c>
      <c r="E32" s="159">
        <f>SUM(E30:E31)</f>
        <v>0</v>
      </c>
      <c r="F32" s="159">
        <f>SUM(F30:F31)</f>
        <v>0</v>
      </c>
    </row>
    <row r="33" spans="2:6">
      <c r="C33" s="36"/>
      <c r="F33" s="37"/>
    </row>
    <row r="34" spans="2:6">
      <c r="B34" s="7" t="s">
        <v>61</v>
      </c>
      <c r="C34" s="36">
        <f>BS!D19</f>
        <v>0</v>
      </c>
      <c r="D34" s="36">
        <f>BS!E19</f>
        <v>0</v>
      </c>
      <c r="E34" s="36">
        <f>BS!F19</f>
        <v>0</v>
      </c>
      <c r="F34" s="36">
        <f>BS!G19</f>
        <v>0</v>
      </c>
    </row>
    <row r="35" spans="2:6">
      <c r="B35" s="39" t="s">
        <v>42</v>
      </c>
      <c r="C35" s="62">
        <f>C32-C34</f>
        <v>0</v>
      </c>
      <c r="D35" s="62">
        <f>D32-D34</f>
        <v>0</v>
      </c>
      <c r="E35" s="62">
        <f>E32-E34</f>
        <v>0</v>
      </c>
      <c r="F35" s="62">
        <f>F32-F34</f>
        <v>0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AQ342"/>
  <sheetViews>
    <sheetView showGridLines="0" topLeftCell="A187" zoomScale="102" zoomScaleNormal="46" workbookViewId="0">
      <selection activeCell="I234" sqref="A234:XFD234"/>
    </sheetView>
  </sheetViews>
  <sheetFormatPr defaultColWidth="11" defaultRowHeight="16"/>
  <cols>
    <col min="1" max="1" width="3" style="11" customWidth="1"/>
    <col min="2" max="2" width="49.1796875" style="63" bestFit="1" customWidth="1"/>
    <col min="3" max="7" width="13.453125" style="69" bestFit="1" customWidth="1"/>
    <col min="8" max="8" width="2.6328125" style="69" customWidth="1"/>
    <col min="9" max="9" width="10" style="262" bestFit="1" customWidth="1"/>
    <col min="10" max="10" width="11" style="262"/>
    <col min="11" max="11" width="15.1796875" style="262" bestFit="1" customWidth="1"/>
    <col min="12" max="13" width="11" style="262"/>
    <col min="14" max="14" width="2.6328125" style="262" customWidth="1"/>
    <col min="15" max="18" width="11" style="262"/>
    <col min="19" max="36" width="11" style="16"/>
    <col min="37" max="37" width="23.453125" style="16" bestFit="1" customWidth="1"/>
    <col min="38" max="38" width="14.453125" style="16" bestFit="1" customWidth="1"/>
    <col min="39" max="41" width="7.453125" style="16" bestFit="1" customWidth="1"/>
    <col min="42" max="42" width="11.453125" style="16" bestFit="1" customWidth="1"/>
    <col min="43" max="16384" width="11" style="16"/>
  </cols>
  <sheetData>
    <row r="1" spans="1:8">
      <c r="A1" s="16"/>
    </row>
    <row r="2" spans="1:8">
      <c r="A2" s="16"/>
      <c r="B2" s="166" t="str">
        <f>IS!B2</f>
        <v>Name</v>
      </c>
    </row>
    <row r="3" spans="1:8">
      <c r="A3" s="16"/>
      <c r="B3" s="64" t="s">
        <v>62</v>
      </c>
      <c r="H3" s="70"/>
    </row>
    <row r="4" spans="1:8">
      <c r="A4" s="16"/>
      <c r="B4" s="63" t="str">
        <f>IS!B4</f>
        <v>INR million</v>
      </c>
      <c r="H4" s="70"/>
    </row>
    <row r="5" spans="1:8">
      <c r="A5" s="16"/>
      <c r="B5" s="116" t="s">
        <v>26</v>
      </c>
      <c r="C5" s="71"/>
      <c r="D5" s="71"/>
      <c r="E5" s="71"/>
      <c r="F5" s="71"/>
      <c r="G5" s="71"/>
    </row>
    <row r="6" spans="1:8">
      <c r="A6" s="16"/>
      <c r="B6" s="117" t="s">
        <v>5</v>
      </c>
      <c r="C6" s="72" t="s">
        <v>6</v>
      </c>
      <c r="D6" s="72" t="s">
        <v>7</v>
      </c>
      <c r="E6" s="72" t="s">
        <v>249</v>
      </c>
      <c r="F6" s="72" t="s">
        <v>254</v>
      </c>
      <c r="G6" s="72" t="s">
        <v>255</v>
      </c>
      <c r="H6" s="73"/>
    </row>
    <row r="7" spans="1:8">
      <c r="A7" s="16"/>
      <c r="B7" s="116" t="s">
        <v>63</v>
      </c>
      <c r="C7" s="75"/>
      <c r="D7" s="75"/>
      <c r="E7" s="75"/>
      <c r="F7" s="75"/>
      <c r="G7" s="75"/>
    </row>
    <row r="8" spans="1:8">
      <c r="A8" s="16"/>
      <c r="B8" s="167" t="s">
        <v>248</v>
      </c>
      <c r="C8" s="168"/>
      <c r="D8" s="168"/>
      <c r="E8" s="168"/>
      <c r="F8" s="168"/>
      <c r="G8" s="168"/>
      <c r="H8" s="168"/>
    </row>
    <row r="9" spans="1:8">
      <c r="A9" s="16"/>
      <c r="B9" s="118" t="s">
        <v>160</v>
      </c>
      <c r="C9" s="75"/>
      <c r="D9" s="75"/>
      <c r="E9" s="75"/>
      <c r="F9" s="75"/>
      <c r="G9" s="75"/>
    </row>
    <row r="10" spans="1:8">
      <c r="A10" s="16"/>
      <c r="B10" s="167" t="s">
        <v>248</v>
      </c>
      <c r="C10" s="168"/>
      <c r="D10" s="168"/>
      <c r="E10" s="168"/>
      <c r="F10" s="168"/>
      <c r="G10" s="168"/>
      <c r="H10" s="168"/>
    </row>
    <row r="11" spans="1:8">
      <c r="A11" s="16"/>
      <c r="B11" s="119" t="s">
        <v>33</v>
      </c>
      <c r="C11" s="76">
        <f>C10</f>
        <v>0</v>
      </c>
      <c r="D11" s="76">
        <f t="shared" ref="D11:E11" si="0">D10</f>
        <v>0</v>
      </c>
      <c r="E11" s="76">
        <f t="shared" si="0"/>
        <v>0</v>
      </c>
      <c r="F11" s="76">
        <f>F10</f>
        <v>0</v>
      </c>
      <c r="G11" s="76">
        <f>G10</f>
        <v>0</v>
      </c>
      <c r="H11" s="74"/>
    </row>
    <row r="12" spans="1:8">
      <c r="A12" s="16"/>
      <c r="C12" s="75"/>
      <c r="D12" s="75"/>
      <c r="E12" s="75"/>
      <c r="F12" s="75"/>
      <c r="G12" s="75"/>
    </row>
    <row r="13" spans="1:8">
      <c r="A13" s="16"/>
      <c r="B13" s="120" t="s">
        <v>27</v>
      </c>
      <c r="C13" s="77"/>
      <c r="D13" s="77"/>
      <c r="E13" s="77"/>
      <c r="F13" s="77"/>
      <c r="G13" s="77"/>
    </row>
    <row r="14" spans="1:8">
      <c r="A14" s="16"/>
      <c r="B14" s="117" t="s">
        <v>5</v>
      </c>
      <c r="C14" s="72" t="str">
        <f>C6</f>
        <v>FY22</v>
      </c>
      <c r="D14" s="72" t="str">
        <f>D6</f>
        <v>FY23</v>
      </c>
      <c r="E14" s="72" t="str">
        <f>E6</f>
        <v>FY24</v>
      </c>
      <c r="F14" s="72" t="str">
        <f>F6</f>
        <v>FY25</v>
      </c>
      <c r="G14" s="72" t="str">
        <f>G6</f>
        <v>FY26</v>
      </c>
      <c r="H14" s="73"/>
    </row>
    <row r="15" spans="1:8">
      <c r="A15" s="16"/>
      <c r="B15" s="67" t="s">
        <v>161</v>
      </c>
      <c r="C15" s="89"/>
      <c r="D15" s="89"/>
      <c r="E15" s="89"/>
      <c r="F15" s="89"/>
      <c r="G15" s="89"/>
      <c r="H15" s="73"/>
    </row>
    <row r="16" spans="1:8">
      <c r="A16" s="16"/>
      <c r="B16" s="121" t="s">
        <v>162</v>
      </c>
      <c r="C16" s="79"/>
      <c r="D16" s="79"/>
      <c r="E16" s="79"/>
      <c r="F16" s="79"/>
      <c r="G16" s="79"/>
      <c r="H16" s="79"/>
    </row>
    <row r="17" spans="1:42">
      <c r="A17" s="16"/>
      <c r="B17" s="122" t="s">
        <v>64</v>
      </c>
      <c r="C17" s="81"/>
      <c r="D17" s="81">
        <f>C21</f>
        <v>0</v>
      </c>
      <c r="E17" s="81">
        <f t="shared" ref="E17:G17" si="1">D21</f>
        <v>0</v>
      </c>
      <c r="F17" s="81">
        <f t="shared" si="1"/>
        <v>0</v>
      </c>
      <c r="G17" s="81">
        <f t="shared" si="1"/>
        <v>0</v>
      </c>
      <c r="H17" s="79"/>
    </row>
    <row r="18" spans="1:42">
      <c r="A18" s="16"/>
      <c r="B18" s="122" t="s">
        <v>163</v>
      </c>
      <c r="C18" s="81"/>
      <c r="D18" s="81"/>
      <c r="E18" s="81"/>
      <c r="F18" s="81"/>
      <c r="G18" s="81"/>
      <c r="H18" s="79"/>
    </row>
    <row r="19" spans="1:42">
      <c r="A19" s="16"/>
      <c r="B19" s="122" t="s">
        <v>265</v>
      </c>
      <c r="C19" s="81"/>
      <c r="D19" s="81"/>
      <c r="E19" s="81"/>
      <c r="F19" s="81"/>
      <c r="G19" s="81"/>
      <c r="H19" s="79"/>
    </row>
    <row r="20" spans="1:42">
      <c r="A20" s="16"/>
      <c r="B20" s="122" t="s">
        <v>259</v>
      </c>
      <c r="C20" s="81">
        <f>IS!C22*curr</f>
        <v>0</v>
      </c>
      <c r="D20" s="81">
        <f>IS!D22*curr</f>
        <v>0</v>
      </c>
      <c r="E20" s="81">
        <f>IS!E22*curr</f>
        <v>0</v>
      </c>
      <c r="F20" s="81">
        <f>IS!F22*curr</f>
        <v>0</v>
      </c>
      <c r="G20" s="81">
        <f>IS!G22*curr</f>
        <v>0</v>
      </c>
      <c r="H20" s="79"/>
    </row>
    <row r="21" spans="1:42">
      <c r="A21" s="16"/>
      <c r="B21" s="122" t="s">
        <v>65</v>
      </c>
      <c r="C21" s="81">
        <f>SUM(C17:C20)</f>
        <v>0</v>
      </c>
      <c r="D21" s="81">
        <f t="shared" ref="D21:G21" si="2">SUM(D17:D20)</f>
        <v>0</v>
      </c>
      <c r="E21" s="81">
        <f t="shared" si="2"/>
        <v>0</v>
      </c>
      <c r="F21" s="81">
        <f t="shared" si="2"/>
        <v>0</v>
      </c>
      <c r="G21" s="81">
        <f t="shared" si="2"/>
        <v>0</v>
      </c>
      <c r="H21" s="79"/>
    </row>
    <row r="22" spans="1:42">
      <c r="A22" s="16"/>
      <c r="B22" s="123" t="s">
        <v>33</v>
      </c>
      <c r="C22" s="82">
        <f>C15+C21</f>
        <v>0</v>
      </c>
      <c r="D22" s="82">
        <f t="shared" ref="D22:E22" si="3">D15+D21</f>
        <v>0</v>
      </c>
      <c r="E22" s="82">
        <f t="shared" si="3"/>
        <v>0</v>
      </c>
      <c r="F22" s="82">
        <f>F15+F21</f>
        <v>0</v>
      </c>
      <c r="G22" s="82">
        <f>G15+G21</f>
        <v>0</v>
      </c>
      <c r="H22" s="83"/>
    </row>
    <row r="23" spans="1:42">
      <c r="A23" s="16"/>
      <c r="B23" s="65"/>
      <c r="C23" s="83"/>
      <c r="D23" s="83"/>
      <c r="E23" s="83"/>
      <c r="F23" s="83"/>
      <c r="G23" s="83"/>
      <c r="H23" s="83"/>
    </row>
    <row r="24" spans="1:42">
      <c r="A24" s="16"/>
      <c r="B24" s="124" t="s">
        <v>164</v>
      </c>
      <c r="C24" s="86"/>
      <c r="D24" s="86"/>
      <c r="E24" s="86"/>
      <c r="F24" s="86"/>
      <c r="G24" s="86"/>
    </row>
    <row r="25" spans="1:42">
      <c r="A25" s="16"/>
      <c r="B25" s="117" t="s">
        <v>5</v>
      </c>
      <c r="C25" s="72" t="str">
        <f>C6</f>
        <v>FY22</v>
      </c>
      <c r="D25" s="72" t="str">
        <f>D6</f>
        <v>FY23</v>
      </c>
      <c r="E25" s="72" t="str">
        <f>E6</f>
        <v>FY24</v>
      </c>
      <c r="F25" s="72" t="str">
        <f>F6</f>
        <v>FY25</v>
      </c>
      <c r="G25" s="72" t="str">
        <f>G6</f>
        <v>FY26</v>
      </c>
    </row>
    <row r="26" spans="1:42">
      <c r="A26" s="16"/>
      <c r="B26" s="125" t="s">
        <v>165</v>
      </c>
      <c r="H26" s="73"/>
    </row>
    <row r="27" spans="1:42" hidden="1">
      <c r="A27" s="16"/>
      <c r="B27" s="125"/>
      <c r="H27" s="73"/>
    </row>
    <row r="28" spans="1:42" hidden="1">
      <c r="A28" s="16"/>
      <c r="B28" s="125"/>
      <c r="H28" s="73"/>
    </row>
    <row r="29" spans="1:42">
      <c r="A29" s="16"/>
      <c r="B29" s="125" t="s">
        <v>237</v>
      </c>
      <c r="H29" s="73"/>
    </row>
    <row r="30" spans="1:42">
      <c r="A30" s="16"/>
      <c r="B30" s="126" t="s">
        <v>33</v>
      </c>
      <c r="C30" s="88">
        <f>SUM(C26:C29)</f>
        <v>0</v>
      </c>
      <c r="D30" s="88">
        <f t="shared" ref="D30:G30" si="4">SUM(D26:D29)</f>
        <v>0</v>
      </c>
      <c r="E30" s="88">
        <f t="shared" si="4"/>
        <v>0</v>
      </c>
      <c r="F30" s="88">
        <f t="shared" si="4"/>
        <v>0</v>
      </c>
      <c r="G30" s="88">
        <f t="shared" si="4"/>
        <v>0</v>
      </c>
    </row>
    <row r="31" spans="1:42">
      <c r="A31" s="16"/>
      <c r="B31" s="66"/>
      <c r="C31" s="85"/>
      <c r="D31" s="85"/>
      <c r="E31" s="85"/>
      <c r="F31" s="85"/>
      <c r="G31" s="85"/>
      <c r="H31" s="85"/>
      <c r="AK31" s="8"/>
      <c r="AL31" s="17"/>
      <c r="AM31" s="17"/>
      <c r="AN31" s="17"/>
      <c r="AO31" s="17"/>
      <c r="AP31" s="17"/>
    </row>
    <row r="32" spans="1:42">
      <c r="A32" s="16"/>
      <c r="B32" s="124" t="s">
        <v>166</v>
      </c>
      <c r="C32" s="86"/>
      <c r="D32" s="86"/>
      <c r="E32" s="86"/>
      <c r="F32" s="86"/>
      <c r="G32" s="86"/>
      <c r="H32" s="85"/>
      <c r="AK32" s="8"/>
      <c r="AL32" s="17"/>
      <c r="AM32" s="17"/>
      <c r="AN32" s="17"/>
      <c r="AO32" s="17"/>
      <c r="AP32" s="17"/>
    </row>
    <row r="33" spans="1:42">
      <c r="A33" s="16"/>
      <c r="B33" s="117" t="s">
        <v>5</v>
      </c>
      <c r="C33" s="72" t="str">
        <f>C6</f>
        <v>FY22</v>
      </c>
      <c r="D33" s="72" t="str">
        <f>D6</f>
        <v>FY23</v>
      </c>
      <c r="E33" s="72" t="str">
        <f>E6</f>
        <v>FY24</v>
      </c>
      <c r="F33" s="72" t="str">
        <f>F6</f>
        <v>FY25</v>
      </c>
      <c r="G33" s="72" t="str">
        <f>G6</f>
        <v>FY26</v>
      </c>
      <c r="H33" s="85"/>
      <c r="AK33" s="8"/>
      <c r="AL33" s="17"/>
      <c r="AM33" s="17"/>
      <c r="AN33" s="17"/>
      <c r="AO33" s="17"/>
      <c r="AP33" s="17"/>
    </row>
    <row r="34" spans="1:42">
      <c r="A34" s="16"/>
      <c r="B34" s="127" t="s">
        <v>234</v>
      </c>
      <c r="C34" s="87"/>
      <c r="D34" s="87"/>
      <c r="E34" s="87"/>
      <c r="F34" s="87"/>
      <c r="G34" s="87"/>
      <c r="H34" s="85"/>
      <c r="AK34" s="8"/>
      <c r="AL34" s="17"/>
      <c r="AM34" s="17"/>
      <c r="AN34" s="17"/>
      <c r="AO34" s="17"/>
      <c r="AP34" s="17"/>
    </row>
    <row r="35" spans="1:42" hidden="1">
      <c r="A35" s="16"/>
      <c r="B35" s="127"/>
      <c r="C35" s="87"/>
      <c r="D35" s="87"/>
      <c r="E35" s="87"/>
      <c r="F35" s="87"/>
      <c r="G35" s="87"/>
      <c r="H35" s="85"/>
      <c r="AK35" s="8"/>
      <c r="AL35" s="17"/>
      <c r="AM35" s="17"/>
      <c r="AN35" s="17"/>
      <c r="AO35" s="17"/>
      <c r="AP35" s="17"/>
    </row>
    <row r="36" spans="1:42" hidden="1">
      <c r="A36" s="16"/>
      <c r="B36" s="127"/>
      <c r="C36" s="87"/>
      <c r="D36" s="87"/>
      <c r="E36" s="87"/>
      <c r="F36" s="87"/>
      <c r="G36" s="87"/>
      <c r="H36" s="85"/>
      <c r="AK36" s="8"/>
      <c r="AL36" s="17"/>
      <c r="AM36" s="17"/>
      <c r="AN36" s="17"/>
      <c r="AO36" s="17"/>
      <c r="AP36" s="17"/>
    </row>
    <row r="37" spans="1:42" hidden="1">
      <c r="A37" s="16"/>
      <c r="B37" s="127"/>
      <c r="C37" s="87"/>
      <c r="D37" s="87"/>
      <c r="E37" s="87"/>
      <c r="F37" s="87"/>
      <c r="G37" s="87"/>
      <c r="H37" s="85"/>
      <c r="AK37" s="8"/>
      <c r="AL37" s="17"/>
      <c r="AM37" s="17"/>
      <c r="AN37" s="17"/>
      <c r="AO37" s="17"/>
      <c r="AP37" s="17"/>
    </row>
    <row r="38" spans="1:42">
      <c r="A38" s="16"/>
      <c r="B38" s="128" t="s">
        <v>235</v>
      </c>
      <c r="C38" s="87"/>
      <c r="D38" s="87"/>
      <c r="E38" s="87"/>
      <c r="F38" s="87"/>
      <c r="G38" s="87"/>
      <c r="H38" s="85"/>
      <c r="AK38" s="8"/>
      <c r="AL38" s="17"/>
      <c r="AM38" s="17"/>
      <c r="AN38" s="17"/>
      <c r="AO38" s="17"/>
      <c r="AP38" s="17"/>
    </row>
    <row r="39" spans="1:42">
      <c r="A39" s="16"/>
      <c r="B39" s="129" t="s">
        <v>33</v>
      </c>
      <c r="C39" s="88">
        <f>SUM(C34:C38)</f>
        <v>0</v>
      </c>
      <c r="D39" s="88">
        <f t="shared" ref="D39:E39" si="5">SUM(D34:D38)</f>
        <v>0</v>
      </c>
      <c r="E39" s="88">
        <f t="shared" si="5"/>
        <v>0</v>
      </c>
      <c r="F39" s="88">
        <f>SUM(F34:F38)</f>
        <v>0</v>
      </c>
      <c r="G39" s="88">
        <f>SUM(G34:G38)</f>
        <v>0</v>
      </c>
      <c r="H39" s="85"/>
      <c r="AK39" s="8"/>
      <c r="AL39" s="17"/>
      <c r="AM39" s="17"/>
      <c r="AN39" s="17"/>
      <c r="AO39" s="17"/>
      <c r="AP39" s="17"/>
    </row>
    <row r="40" spans="1:42">
      <c r="A40" s="16"/>
      <c r="B40" s="66"/>
      <c r="C40" s="85"/>
      <c r="D40" s="85"/>
      <c r="E40" s="85"/>
      <c r="F40" s="85"/>
      <c r="G40" s="85"/>
      <c r="H40" s="85"/>
      <c r="AK40" s="8"/>
      <c r="AL40" s="17"/>
      <c r="AM40" s="17"/>
      <c r="AN40" s="17"/>
      <c r="AO40" s="17"/>
      <c r="AP40" s="17"/>
    </row>
    <row r="41" spans="1:42">
      <c r="A41" s="16"/>
      <c r="B41" s="124" t="s">
        <v>29</v>
      </c>
      <c r="C41" s="86"/>
      <c r="D41" s="86"/>
      <c r="E41" s="86"/>
      <c r="F41" s="86"/>
      <c r="G41" s="86"/>
      <c r="AK41" s="8"/>
      <c r="AL41" s="17"/>
      <c r="AM41" s="17"/>
      <c r="AN41" s="17"/>
      <c r="AO41" s="17"/>
      <c r="AP41" s="17"/>
    </row>
    <row r="42" spans="1:42">
      <c r="B42" s="117" t="s">
        <v>5</v>
      </c>
      <c r="C42" s="72" t="str">
        <f>C6</f>
        <v>FY22</v>
      </c>
      <c r="D42" s="72" t="str">
        <f>D6</f>
        <v>FY23</v>
      </c>
      <c r="E42" s="72" t="str">
        <f>E6</f>
        <v>FY24</v>
      </c>
      <c r="F42" s="72" t="str">
        <f>F6</f>
        <v>FY25</v>
      </c>
      <c r="G42" s="72" t="str">
        <f>G6</f>
        <v>FY26</v>
      </c>
      <c r="AK42" s="8"/>
      <c r="AL42" s="17"/>
      <c r="AM42" s="17"/>
      <c r="AN42" s="17"/>
      <c r="AO42" s="17"/>
      <c r="AP42" s="17"/>
    </row>
    <row r="43" spans="1:42">
      <c r="B43" s="127" t="s">
        <v>174</v>
      </c>
      <c r="C43" s="87"/>
      <c r="D43" s="87"/>
      <c r="E43" s="87"/>
      <c r="F43" s="87"/>
      <c r="G43" s="87"/>
      <c r="H43" s="73"/>
      <c r="AK43" s="8"/>
      <c r="AL43" s="17"/>
      <c r="AM43" s="17"/>
      <c r="AN43" s="17"/>
      <c r="AO43" s="17"/>
      <c r="AP43" s="17"/>
    </row>
    <row r="44" spans="1:42">
      <c r="B44" s="130" t="s">
        <v>175</v>
      </c>
      <c r="C44" s="87"/>
      <c r="D44" s="87"/>
      <c r="E44" s="87"/>
      <c r="F44" s="87"/>
      <c r="G44" s="87"/>
      <c r="H44" s="89"/>
      <c r="AK44" s="8"/>
      <c r="AL44" s="17"/>
      <c r="AM44" s="17"/>
      <c r="AN44" s="17"/>
      <c r="AO44" s="17"/>
      <c r="AP44" s="17"/>
    </row>
    <row r="45" spans="1:42" hidden="1">
      <c r="B45" s="127"/>
      <c r="C45" s="87"/>
      <c r="D45" s="87"/>
      <c r="E45" s="87"/>
      <c r="F45" s="87"/>
      <c r="G45" s="87"/>
      <c r="H45" s="73"/>
      <c r="AK45" s="8"/>
      <c r="AL45" s="17"/>
      <c r="AM45" s="17"/>
      <c r="AN45" s="17"/>
      <c r="AO45" s="17"/>
      <c r="AP45" s="17"/>
    </row>
    <row r="46" spans="1:42" hidden="1">
      <c r="B46" s="127"/>
      <c r="C46" s="87"/>
      <c r="D46" s="87"/>
      <c r="E46" s="87"/>
      <c r="F46" s="87"/>
      <c r="G46" s="87"/>
      <c r="H46" s="73"/>
      <c r="AK46" s="8"/>
      <c r="AL46" s="17"/>
      <c r="AM46" s="17"/>
      <c r="AN46" s="17"/>
      <c r="AO46" s="17"/>
      <c r="AP46" s="17"/>
    </row>
    <row r="47" spans="1:42" hidden="1">
      <c r="B47" s="127"/>
      <c r="C47" s="87"/>
      <c r="D47" s="87"/>
      <c r="E47" s="87"/>
      <c r="F47" s="87"/>
      <c r="G47" s="87"/>
      <c r="H47" s="73"/>
      <c r="AK47" s="8"/>
      <c r="AL47" s="17"/>
      <c r="AM47" s="17"/>
      <c r="AN47" s="17"/>
      <c r="AO47" s="17"/>
      <c r="AP47" s="17"/>
    </row>
    <row r="48" spans="1:42">
      <c r="B48" s="128" t="s">
        <v>176</v>
      </c>
      <c r="C48" s="87"/>
      <c r="D48" s="87"/>
      <c r="E48" s="87"/>
      <c r="F48" s="87"/>
      <c r="G48" s="87"/>
      <c r="H48" s="89"/>
      <c r="AK48" s="8"/>
      <c r="AL48" s="17"/>
      <c r="AM48" s="17"/>
      <c r="AN48" s="17"/>
      <c r="AO48" s="17"/>
      <c r="AP48" s="17"/>
    </row>
    <row r="49" spans="1:42">
      <c r="B49" s="129" t="s">
        <v>33</v>
      </c>
      <c r="C49" s="88">
        <f>SUM(C43:C48)</f>
        <v>0</v>
      </c>
      <c r="D49" s="88">
        <f t="shared" ref="D49:E49" si="6">SUM(D43:D48)</f>
        <v>0</v>
      </c>
      <c r="E49" s="88">
        <f t="shared" si="6"/>
        <v>0</v>
      </c>
      <c r="F49" s="88">
        <f>SUM(F43:F48)</f>
        <v>0</v>
      </c>
      <c r="G49" s="88">
        <f>SUM(G43:G48)</f>
        <v>0</v>
      </c>
      <c r="AK49" s="8"/>
      <c r="AL49" s="17"/>
      <c r="AM49" s="17"/>
      <c r="AN49" s="17"/>
      <c r="AO49" s="17"/>
      <c r="AP49" s="17"/>
    </row>
    <row r="50" spans="1:42">
      <c r="B50" s="66"/>
      <c r="C50" s="85"/>
      <c r="D50" s="85"/>
      <c r="E50" s="85"/>
      <c r="F50" s="85"/>
      <c r="G50" s="85"/>
      <c r="H50" s="85"/>
    </row>
    <row r="51" spans="1:42">
      <c r="B51" s="124" t="s">
        <v>167</v>
      </c>
      <c r="C51" s="86"/>
      <c r="D51" s="86"/>
      <c r="E51" s="86"/>
      <c r="F51" s="86"/>
      <c r="G51" s="86"/>
      <c r="H51" s="85"/>
    </row>
    <row r="52" spans="1:42">
      <c r="B52" s="117" t="s">
        <v>5</v>
      </c>
      <c r="C52" s="72" t="str">
        <f>C6</f>
        <v>FY22</v>
      </c>
      <c r="D52" s="72" t="str">
        <f>D6</f>
        <v>FY23</v>
      </c>
      <c r="E52" s="72" t="str">
        <f>E6</f>
        <v>FY24</v>
      </c>
      <c r="F52" s="72" t="str">
        <f>F6</f>
        <v>FY25</v>
      </c>
      <c r="G52" s="72" t="str">
        <f>G6</f>
        <v>FY26</v>
      </c>
      <c r="H52" s="85"/>
    </row>
    <row r="53" spans="1:42">
      <c r="B53" s="125" t="s">
        <v>172</v>
      </c>
      <c r="H53" s="85"/>
    </row>
    <row r="54" spans="1:42">
      <c r="B54" s="131" t="s">
        <v>266</v>
      </c>
      <c r="H54" s="85"/>
    </row>
    <row r="55" spans="1:42">
      <c r="B55" s="131" t="s">
        <v>173</v>
      </c>
      <c r="H55" s="85"/>
    </row>
    <row r="56" spans="1:42" hidden="1">
      <c r="B56" s="125"/>
      <c r="H56" s="85"/>
    </row>
    <row r="57" spans="1:42" hidden="1">
      <c r="B57" s="125"/>
      <c r="H57" s="85"/>
    </row>
    <row r="58" spans="1:42" hidden="1">
      <c r="B58" s="125"/>
      <c r="H58" s="85"/>
    </row>
    <row r="59" spans="1:42">
      <c r="B59" s="125" t="s">
        <v>246</v>
      </c>
      <c r="H59" s="85"/>
    </row>
    <row r="60" spans="1:42">
      <c r="B60" s="126" t="s">
        <v>33</v>
      </c>
      <c r="C60" s="88">
        <f t="shared" ref="C60" si="7">SUM(C53:C59)</f>
        <v>0</v>
      </c>
      <c r="D60" s="88">
        <f t="shared" ref="D60:E60" si="8">SUM(D53:D59)</f>
        <v>0</v>
      </c>
      <c r="E60" s="88">
        <f t="shared" si="8"/>
        <v>0</v>
      </c>
      <c r="F60" s="88">
        <f>SUM(F53:F59)</f>
        <v>0</v>
      </c>
      <c r="G60" s="88">
        <f>SUM(G53:G59)</f>
        <v>0</v>
      </c>
      <c r="H60" s="85"/>
    </row>
    <row r="61" spans="1:42">
      <c r="B61" s="66"/>
      <c r="C61" s="85"/>
      <c r="D61" s="85"/>
      <c r="E61" s="85"/>
      <c r="F61" s="85"/>
      <c r="G61" s="85"/>
      <c r="H61" s="85"/>
    </row>
    <row r="62" spans="1:42">
      <c r="B62" s="124" t="s">
        <v>30</v>
      </c>
      <c r="C62" s="86"/>
      <c r="D62" s="86"/>
      <c r="E62" s="86"/>
      <c r="F62" s="86"/>
      <c r="G62" s="86"/>
    </row>
    <row r="63" spans="1:42">
      <c r="A63" s="16"/>
      <c r="B63" s="117" t="s">
        <v>5</v>
      </c>
      <c r="C63" s="72" t="str">
        <f>C6</f>
        <v>FY22</v>
      </c>
      <c r="D63" s="72" t="str">
        <f>D6</f>
        <v>FY23</v>
      </c>
      <c r="E63" s="72" t="str">
        <f>E6</f>
        <v>FY24</v>
      </c>
      <c r="F63" s="72" t="str">
        <f>F6</f>
        <v>FY25</v>
      </c>
      <c r="G63" s="72" t="str">
        <f>G6</f>
        <v>FY26</v>
      </c>
    </row>
    <row r="64" spans="1:42">
      <c r="A64" s="16"/>
      <c r="B64" s="125" t="s">
        <v>165</v>
      </c>
      <c r="H64" s="73"/>
    </row>
    <row r="65" spans="1:8">
      <c r="A65" s="16"/>
      <c r="B65" s="125" t="s">
        <v>275</v>
      </c>
      <c r="H65" s="73"/>
    </row>
    <row r="66" spans="1:8" hidden="1">
      <c r="A66" s="16"/>
      <c r="B66" s="125"/>
      <c r="H66" s="73"/>
    </row>
    <row r="67" spans="1:8" hidden="1">
      <c r="A67" s="16"/>
      <c r="B67" s="125"/>
      <c r="H67" s="73"/>
    </row>
    <row r="68" spans="1:8" hidden="1">
      <c r="A68" s="16"/>
      <c r="B68" s="125"/>
      <c r="H68" s="73"/>
    </row>
    <row r="69" spans="1:8">
      <c r="B69" s="125" t="s">
        <v>177</v>
      </c>
      <c r="H69" s="90"/>
    </row>
    <row r="70" spans="1:8">
      <c r="A70" s="16"/>
      <c r="B70" s="126" t="s">
        <v>33</v>
      </c>
      <c r="C70" s="88">
        <f>SUM(C64:C69)</f>
        <v>0</v>
      </c>
      <c r="D70" s="88">
        <f t="shared" ref="D70:G70" si="9">SUM(D64:D69)</f>
        <v>0</v>
      </c>
      <c r="E70" s="88">
        <f t="shared" si="9"/>
        <v>0</v>
      </c>
      <c r="F70" s="88">
        <f t="shared" si="9"/>
        <v>0</v>
      </c>
      <c r="G70" s="88">
        <f t="shared" si="9"/>
        <v>0</v>
      </c>
      <c r="H70" s="90"/>
    </row>
    <row r="71" spans="1:8">
      <c r="B71" s="66"/>
      <c r="C71" s="85"/>
      <c r="D71" s="85"/>
      <c r="E71" s="85"/>
      <c r="F71" s="85"/>
      <c r="G71" s="85"/>
      <c r="H71" s="85"/>
    </row>
    <row r="72" spans="1:8">
      <c r="B72" s="124" t="s">
        <v>31</v>
      </c>
      <c r="C72" s="86"/>
      <c r="D72" s="86"/>
      <c r="E72" s="86"/>
      <c r="F72" s="86"/>
      <c r="G72" s="86"/>
    </row>
    <row r="73" spans="1:8">
      <c r="B73" s="117" t="s">
        <v>5</v>
      </c>
      <c r="C73" s="72" t="str">
        <f>C6</f>
        <v>FY22</v>
      </c>
      <c r="D73" s="72" t="str">
        <f>D6</f>
        <v>FY23</v>
      </c>
      <c r="E73" s="72" t="str">
        <f>E6</f>
        <v>FY24</v>
      </c>
      <c r="F73" s="72" t="str">
        <f>F6</f>
        <v>FY25</v>
      </c>
      <c r="G73" s="72" t="str">
        <f>G6</f>
        <v>FY26</v>
      </c>
    </row>
    <row r="74" spans="1:8">
      <c r="B74" s="132" t="s">
        <v>178</v>
      </c>
      <c r="C74" s="90"/>
      <c r="D74" s="90"/>
      <c r="E74" s="90"/>
      <c r="F74" s="90"/>
      <c r="G74" s="90"/>
      <c r="H74" s="73"/>
    </row>
    <row r="75" spans="1:8">
      <c r="B75" s="13" t="s">
        <v>179</v>
      </c>
      <c r="C75" s="90"/>
      <c r="D75" s="90"/>
      <c r="E75" s="90"/>
      <c r="F75" s="90"/>
      <c r="G75" s="90"/>
      <c r="H75" s="80"/>
    </row>
    <row r="76" spans="1:8">
      <c r="B76" s="121" t="s">
        <v>180</v>
      </c>
      <c r="C76" s="90"/>
      <c r="D76" s="90"/>
      <c r="E76" s="90"/>
      <c r="F76" s="90"/>
      <c r="G76" s="90"/>
      <c r="H76" s="80"/>
    </row>
    <row r="77" spans="1:8">
      <c r="B77" s="121" t="s">
        <v>181</v>
      </c>
      <c r="C77" s="90"/>
      <c r="D77" s="90"/>
      <c r="E77" s="90"/>
      <c r="F77" s="90"/>
      <c r="G77" s="90"/>
      <c r="H77" s="80"/>
    </row>
    <row r="78" spans="1:8">
      <c r="B78" s="121" t="s">
        <v>182</v>
      </c>
      <c r="C78" s="90"/>
      <c r="D78" s="90"/>
      <c r="E78" s="90"/>
      <c r="F78" s="90"/>
      <c r="G78" s="90"/>
      <c r="H78" s="80"/>
    </row>
    <row r="79" spans="1:8">
      <c r="B79" s="121" t="s">
        <v>183</v>
      </c>
      <c r="C79" s="90"/>
      <c r="D79" s="90"/>
      <c r="E79" s="90"/>
      <c r="F79" s="90"/>
      <c r="G79" s="90"/>
      <c r="H79" s="80"/>
    </row>
    <row r="80" spans="1:8" hidden="1">
      <c r="B80" s="132"/>
      <c r="C80" s="90"/>
      <c r="D80" s="90"/>
      <c r="E80" s="90"/>
      <c r="F80" s="90"/>
      <c r="G80" s="90"/>
      <c r="H80" s="73"/>
    </row>
    <row r="81" spans="2:8" hidden="1">
      <c r="B81" s="132"/>
      <c r="C81" s="90"/>
      <c r="D81" s="90"/>
      <c r="E81" s="90"/>
      <c r="F81" s="90"/>
      <c r="G81" s="90"/>
      <c r="H81" s="73"/>
    </row>
    <row r="82" spans="2:8" hidden="1">
      <c r="B82" s="132"/>
      <c r="C82" s="90"/>
      <c r="D82" s="90"/>
      <c r="E82" s="90"/>
      <c r="F82" s="90"/>
      <c r="G82" s="90"/>
      <c r="H82" s="73"/>
    </row>
    <row r="83" spans="2:8" hidden="1">
      <c r="B83" s="132"/>
      <c r="C83" s="90"/>
      <c r="D83" s="90"/>
      <c r="E83" s="90"/>
      <c r="F83" s="90"/>
      <c r="G83" s="90"/>
      <c r="H83" s="73"/>
    </row>
    <row r="84" spans="2:8">
      <c r="B84" s="121" t="s">
        <v>98</v>
      </c>
      <c r="C84" s="90"/>
      <c r="D84" s="90"/>
      <c r="E84" s="90"/>
      <c r="F84" s="90"/>
      <c r="G84" s="90"/>
      <c r="H84" s="80"/>
    </row>
    <row r="85" spans="2:8">
      <c r="B85" s="126" t="s">
        <v>33</v>
      </c>
      <c r="C85" s="88">
        <f>SUM(C74:C84)</f>
        <v>0</v>
      </c>
      <c r="D85" s="88">
        <f t="shared" ref="D85:G85" si="10">SUM(D74:D84)</f>
        <v>0</v>
      </c>
      <c r="E85" s="88">
        <f t="shared" si="10"/>
        <v>0</v>
      </c>
      <c r="F85" s="88">
        <f t="shared" si="10"/>
        <v>0</v>
      </c>
      <c r="G85" s="88">
        <f t="shared" si="10"/>
        <v>0</v>
      </c>
      <c r="H85" s="90"/>
    </row>
    <row r="86" spans="2:8">
      <c r="B86" s="66"/>
      <c r="C86" s="85"/>
      <c r="D86" s="85"/>
      <c r="E86" s="85"/>
      <c r="F86" s="85"/>
      <c r="G86" s="85"/>
      <c r="H86" s="90"/>
    </row>
    <row r="87" spans="2:8">
      <c r="B87" s="124" t="s">
        <v>35</v>
      </c>
      <c r="C87" s="86"/>
      <c r="D87" s="86"/>
      <c r="E87" s="86"/>
      <c r="F87" s="86"/>
      <c r="G87" s="86"/>
      <c r="H87" s="90"/>
    </row>
    <row r="88" spans="2:8">
      <c r="B88" s="117" t="s">
        <v>5</v>
      </c>
      <c r="C88" s="72" t="str">
        <f>C6</f>
        <v>FY22</v>
      </c>
      <c r="D88" s="72" t="str">
        <f>D6</f>
        <v>FY23</v>
      </c>
      <c r="E88" s="72" t="str">
        <f>E6</f>
        <v>FY24</v>
      </c>
      <c r="F88" s="72" t="str">
        <f>F6</f>
        <v>FY25</v>
      </c>
      <c r="G88" s="72" t="str">
        <f>G6</f>
        <v>FY26</v>
      </c>
      <c r="H88" s="90"/>
    </row>
    <row r="89" spans="2:8">
      <c r="B89" s="132" t="s">
        <v>99</v>
      </c>
      <c r="C89" s="78"/>
      <c r="D89" s="78"/>
      <c r="E89" s="78"/>
      <c r="F89" s="78"/>
      <c r="G89" s="78"/>
      <c r="H89" s="90"/>
    </row>
    <row r="90" spans="2:8">
      <c r="B90" s="122" t="s">
        <v>184</v>
      </c>
      <c r="C90" s="90"/>
      <c r="D90" s="90"/>
      <c r="E90" s="90"/>
      <c r="F90" s="90"/>
      <c r="G90" s="90"/>
      <c r="H90" s="90"/>
    </row>
    <row r="91" spans="2:8">
      <c r="B91" s="122" t="s">
        <v>66</v>
      </c>
      <c r="C91" s="90"/>
      <c r="D91" s="90"/>
      <c r="E91" s="90"/>
      <c r="F91" s="90"/>
      <c r="G91" s="90"/>
      <c r="H91" s="85"/>
    </row>
    <row r="92" spans="2:8">
      <c r="B92" s="122" t="s">
        <v>186</v>
      </c>
      <c r="C92" s="90"/>
      <c r="D92" s="90"/>
      <c r="E92" s="90"/>
      <c r="F92" s="90"/>
      <c r="G92" s="90"/>
    </row>
    <row r="93" spans="2:8">
      <c r="B93" s="122" t="s">
        <v>187</v>
      </c>
      <c r="C93" s="90"/>
      <c r="D93" s="90"/>
      <c r="E93" s="90"/>
      <c r="F93" s="90"/>
      <c r="G93" s="90"/>
    </row>
    <row r="94" spans="2:8">
      <c r="B94" s="122" t="s">
        <v>185</v>
      </c>
      <c r="C94" s="90"/>
      <c r="D94" s="90"/>
      <c r="E94" s="90"/>
      <c r="F94" s="90"/>
      <c r="G94" s="90"/>
    </row>
    <row r="95" spans="2:8">
      <c r="B95" s="122" t="s">
        <v>276</v>
      </c>
      <c r="C95" s="90"/>
      <c r="D95" s="90"/>
      <c r="E95" s="90"/>
      <c r="F95" s="90"/>
      <c r="G95" s="90"/>
      <c r="H95" s="90"/>
    </row>
    <row r="96" spans="2:8">
      <c r="B96" s="122" t="s">
        <v>277</v>
      </c>
      <c r="C96" s="90"/>
      <c r="D96" s="90"/>
      <c r="E96" s="90"/>
      <c r="F96" s="90"/>
      <c r="G96" s="90"/>
      <c r="H96" s="90"/>
    </row>
    <row r="97" spans="2:8">
      <c r="B97" s="122" t="s">
        <v>278</v>
      </c>
      <c r="C97" s="90"/>
      <c r="D97" s="90"/>
      <c r="E97" s="90"/>
      <c r="F97" s="90"/>
      <c r="G97" s="90"/>
      <c r="H97" s="90"/>
    </row>
    <row r="98" spans="2:8">
      <c r="B98" s="122" t="s">
        <v>279</v>
      </c>
      <c r="C98" s="90"/>
      <c r="D98" s="90"/>
      <c r="E98" s="90"/>
      <c r="F98" s="90"/>
      <c r="G98" s="90"/>
      <c r="H98" s="90"/>
    </row>
    <row r="99" spans="2:8" hidden="1">
      <c r="B99" s="122"/>
      <c r="C99" s="90"/>
      <c r="D99" s="90"/>
      <c r="E99" s="90"/>
      <c r="F99" s="90"/>
      <c r="G99" s="90"/>
      <c r="H99" s="90"/>
    </row>
    <row r="100" spans="2:8" hidden="1">
      <c r="B100" s="122"/>
      <c r="C100" s="90"/>
      <c r="D100" s="90"/>
      <c r="E100" s="90"/>
      <c r="F100" s="90"/>
      <c r="G100" s="90"/>
      <c r="H100" s="90"/>
    </row>
    <row r="101" spans="2:8" hidden="1">
      <c r="B101" s="122"/>
      <c r="C101" s="90"/>
      <c r="D101" s="90"/>
      <c r="E101" s="90"/>
      <c r="F101" s="90"/>
      <c r="G101" s="90"/>
      <c r="H101" s="90"/>
    </row>
    <row r="102" spans="2:8" hidden="1">
      <c r="B102" s="122"/>
      <c r="C102" s="90"/>
      <c r="D102" s="90"/>
      <c r="E102" s="90"/>
      <c r="F102" s="90"/>
      <c r="G102" s="90"/>
      <c r="H102" s="90"/>
    </row>
    <row r="103" spans="2:8">
      <c r="B103" s="122" t="s">
        <v>188</v>
      </c>
      <c r="C103" s="90"/>
      <c r="D103" s="90"/>
      <c r="E103" s="90"/>
      <c r="F103" s="90"/>
      <c r="G103" s="90"/>
    </row>
    <row r="104" spans="2:8">
      <c r="B104" s="126" t="s">
        <v>33</v>
      </c>
      <c r="C104" s="88">
        <f>SUM(C90:C103)</f>
        <v>0</v>
      </c>
      <c r="D104" s="88">
        <f t="shared" ref="D104:E104" si="11">SUM(D90:D103)</f>
        <v>0</v>
      </c>
      <c r="E104" s="88">
        <f t="shared" si="11"/>
        <v>0</v>
      </c>
      <c r="F104" s="88">
        <f>SUM(F90:F103)</f>
        <v>0</v>
      </c>
      <c r="G104" s="88">
        <f>SUM(G90:G103)</f>
        <v>0</v>
      </c>
      <c r="H104" s="85"/>
    </row>
    <row r="105" spans="2:8">
      <c r="B105" s="66"/>
      <c r="C105" s="85"/>
      <c r="D105" s="85"/>
      <c r="E105" s="85"/>
      <c r="F105" s="85"/>
      <c r="G105" s="85"/>
      <c r="H105" s="85"/>
    </row>
    <row r="106" spans="2:8">
      <c r="B106" s="133" t="s">
        <v>67</v>
      </c>
      <c r="C106" s="91"/>
      <c r="D106" s="91"/>
      <c r="E106" s="91"/>
      <c r="F106" s="91"/>
      <c r="G106" s="91"/>
    </row>
    <row r="107" spans="2:8">
      <c r="B107" s="117" t="s">
        <v>5</v>
      </c>
      <c r="C107" s="72" t="str">
        <f>C6</f>
        <v>FY22</v>
      </c>
      <c r="D107" s="72" t="str">
        <f>D6</f>
        <v>FY23</v>
      </c>
      <c r="E107" s="72" t="str">
        <f>E6</f>
        <v>FY24</v>
      </c>
      <c r="F107" s="72" t="str">
        <f>F6</f>
        <v>FY25</v>
      </c>
      <c r="G107" s="72" t="str">
        <f>G6</f>
        <v>FY26</v>
      </c>
      <c r="H107" s="73"/>
    </row>
    <row r="108" spans="2:8" hidden="1">
      <c r="B108" s="68"/>
      <c r="C108" s="75"/>
      <c r="D108" s="75"/>
      <c r="E108" s="75"/>
      <c r="F108" s="75"/>
      <c r="G108" s="75"/>
      <c r="H108" s="73"/>
    </row>
    <row r="109" spans="2:8" hidden="1">
      <c r="B109" s="68"/>
      <c r="C109" s="75"/>
      <c r="D109" s="75"/>
      <c r="E109" s="75"/>
      <c r="F109" s="75"/>
      <c r="G109" s="75"/>
      <c r="H109" s="73"/>
    </row>
    <row r="110" spans="2:8">
      <c r="B110" s="68" t="s">
        <v>192</v>
      </c>
      <c r="C110" s="75"/>
      <c r="D110" s="75"/>
      <c r="E110" s="75"/>
      <c r="F110" s="75"/>
      <c r="G110" s="75"/>
      <c r="H110" s="73"/>
    </row>
    <row r="111" spans="2:8">
      <c r="B111" s="126" t="s">
        <v>33</v>
      </c>
      <c r="C111" s="88">
        <f>SUM(C108:C110)</f>
        <v>0</v>
      </c>
      <c r="D111" s="88">
        <f>SUM(D108:D110)</f>
        <v>0</v>
      </c>
      <c r="E111" s="88">
        <f>SUM(E108:E110)</f>
        <v>0</v>
      </c>
      <c r="F111" s="88">
        <f>SUM(F108:F110)</f>
        <v>0</v>
      </c>
      <c r="G111" s="88">
        <f>SUM(G108:G110)</f>
        <v>0</v>
      </c>
    </row>
    <row r="112" spans="2:8">
      <c r="B112" s="66"/>
      <c r="C112" s="85"/>
      <c r="D112" s="85"/>
      <c r="E112" s="85"/>
      <c r="F112" s="85"/>
      <c r="G112" s="85"/>
      <c r="H112" s="89"/>
    </row>
    <row r="113" spans="2:8">
      <c r="B113" s="133" t="s">
        <v>191</v>
      </c>
      <c r="C113" s="91"/>
      <c r="D113" s="91"/>
      <c r="E113" s="91"/>
      <c r="F113" s="91"/>
      <c r="G113" s="91"/>
      <c r="H113" s="89"/>
    </row>
    <row r="114" spans="2:8">
      <c r="B114" s="117" t="s">
        <v>5</v>
      </c>
      <c r="C114" s="72" t="str">
        <f>C6</f>
        <v>FY22</v>
      </c>
      <c r="D114" s="72" t="str">
        <f>D6</f>
        <v>FY23</v>
      </c>
      <c r="E114" s="72" t="str">
        <f>E6</f>
        <v>FY24</v>
      </c>
      <c r="F114" s="72" t="str">
        <f>F6</f>
        <v>FY25</v>
      </c>
      <c r="G114" s="72" t="str">
        <f>G6</f>
        <v>FY26</v>
      </c>
      <c r="H114" s="89"/>
    </row>
    <row r="115" spans="2:8">
      <c r="B115" s="67" t="s">
        <v>245</v>
      </c>
      <c r="C115" s="89"/>
      <c r="D115" s="89"/>
      <c r="E115" s="89"/>
      <c r="F115" s="89"/>
      <c r="G115" s="89"/>
      <c r="H115" s="89"/>
    </row>
    <row r="116" spans="2:8">
      <c r="B116" s="67" t="s">
        <v>240</v>
      </c>
      <c r="C116" s="89"/>
      <c r="D116" s="89"/>
      <c r="E116" s="89"/>
      <c r="F116" s="89"/>
      <c r="G116" s="89"/>
      <c r="H116" s="89"/>
    </row>
    <row r="117" spans="2:8" hidden="1">
      <c r="B117" s="67"/>
      <c r="C117" s="89"/>
      <c r="D117" s="89"/>
      <c r="E117" s="89"/>
      <c r="F117" s="89"/>
      <c r="G117" s="89"/>
      <c r="H117" s="89"/>
    </row>
    <row r="118" spans="2:8" hidden="1">
      <c r="B118" s="67"/>
      <c r="C118" s="89"/>
      <c r="D118" s="89"/>
      <c r="E118" s="89"/>
      <c r="F118" s="89"/>
      <c r="G118" s="89"/>
      <c r="H118" s="89"/>
    </row>
    <row r="119" spans="2:8">
      <c r="B119" s="250" t="s">
        <v>267</v>
      </c>
      <c r="C119" s="75"/>
      <c r="D119" s="75"/>
      <c r="E119" s="75"/>
      <c r="F119" s="75"/>
      <c r="G119" s="75"/>
      <c r="H119" s="89"/>
    </row>
    <row r="120" spans="2:8">
      <c r="B120" s="126" t="s">
        <v>33</v>
      </c>
      <c r="C120" s="88">
        <f>SUM(C115:C119)</f>
        <v>0</v>
      </c>
      <c r="D120" s="88">
        <f t="shared" ref="D120:E120" si="12">SUM(D115:D119)</f>
        <v>0</v>
      </c>
      <c r="E120" s="88">
        <f t="shared" si="12"/>
        <v>0</v>
      </c>
      <c r="F120" s="88">
        <f>SUM(F115:F119)</f>
        <v>0</v>
      </c>
      <c r="G120" s="88">
        <f>SUM(G115:G119)</f>
        <v>0</v>
      </c>
      <c r="H120" s="89"/>
    </row>
    <row r="121" spans="2:8">
      <c r="B121" s="66"/>
      <c r="C121" s="85"/>
      <c r="D121" s="85"/>
      <c r="E121" s="85"/>
      <c r="F121" s="85"/>
      <c r="G121" s="85"/>
      <c r="H121" s="89"/>
    </row>
    <row r="122" spans="2:8">
      <c r="B122" s="124" t="s">
        <v>37</v>
      </c>
      <c r="C122" s="86"/>
      <c r="D122" s="86"/>
      <c r="E122" s="86"/>
      <c r="F122" s="86"/>
      <c r="G122" s="86"/>
      <c r="H122" s="73"/>
    </row>
    <row r="123" spans="2:8">
      <c r="B123" s="117" t="s">
        <v>5</v>
      </c>
      <c r="C123" s="72" t="str">
        <f>C6</f>
        <v>FY22</v>
      </c>
      <c r="D123" s="72" t="str">
        <f>D6</f>
        <v>FY23</v>
      </c>
      <c r="E123" s="72" t="str">
        <f>E6</f>
        <v>FY24</v>
      </c>
      <c r="F123" s="72" t="str">
        <f>F6</f>
        <v>FY25</v>
      </c>
      <c r="G123" s="72" t="str">
        <f>G6</f>
        <v>FY26</v>
      </c>
      <c r="H123" s="73"/>
    </row>
    <row r="124" spans="2:8">
      <c r="B124" s="67" t="s">
        <v>68</v>
      </c>
      <c r="C124" s="89"/>
      <c r="D124" s="89"/>
      <c r="E124" s="89"/>
      <c r="F124" s="89"/>
      <c r="G124" s="89"/>
    </row>
    <row r="125" spans="2:8">
      <c r="B125" s="67" t="s">
        <v>69</v>
      </c>
      <c r="C125" s="89"/>
      <c r="D125" s="89"/>
      <c r="E125" s="89"/>
      <c r="F125" s="89"/>
      <c r="G125" s="89"/>
      <c r="H125" s="73"/>
    </row>
    <row r="126" spans="2:8" hidden="1">
      <c r="B126" s="67"/>
      <c r="C126" s="89"/>
      <c r="D126" s="89"/>
      <c r="E126" s="89"/>
      <c r="F126" s="89"/>
      <c r="G126" s="89"/>
    </row>
    <row r="127" spans="2:8" hidden="1">
      <c r="B127" s="67"/>
      <c r="C127" s="89"/>
      <c r="D127" s="89"/>
      <c r="E127" s="89"/>
      <c r="F127" s="89"/>
      <c r="G127" s="89"/>
    </row>
    <row r="128" spans="2:8" hidden="1">
      <c r="B128" s="67"/>
      <c r="C128" s="89"/>
      <c r="D128" s="89"/>
      <c r="E128" s="89"/>
      <c r="F128" s="89"/>
      <c r="G128" s="89"/>
    </row>
    <row r="129" spans="2:8">
      <c r="B129" s="169" t="s">
        <v>194</v>
      </c>
      <c r="C129" s="170"/>
      <c r="D129" s="170"/>
      <c r="E129" s="170"/>
      <c r="F129" s="170"/>
      <c r="G129" s="170"/>
    </row>
    <row r="130" spans="2:8">
      <c r="B130" s="119" t="s">
        <v>33</v>
      </c>
      <c r="C130" s="92">
        <f>SUM(C124:C129)</f>
        <v>0</v>
      </c>
      <c r="D130" s="92">
        <f t="shared" ref="D130:E130" si="13">SUM(D124:D129)</f>
        <v>0</v>
      </c>
      <c r="E130" s="92">
        <f t="shared" si="13"/>
        <v>0</v>
      </c>
      <c r="F130" s="92">
        <f>SUM(F124:F129)</f>
        <v>0</v>
      </c>
      <c r="G130" s="92">
        <f>SUM(G124:G129)</f>
        <v>0</v>
      </c>
      <c r="H130" s="90"/>
    </row>
    <row r="131" spans="2:8">
      <c r="B131" s="118"/>
      <c r="C131" s="176"/>
      <c r="D131" s="176"/>
      <c r="E131" s="176"/>
      <c r="F131" s="176"/>
      <c r="G131" s="176"/>
      <c r="H131" s="90"/>
    </row>
    <row r="132" spans="2:8">
      <c r="B132" s="124" t="s">
        <v>193</v>
      </c>
      <c r="C132" s="86"/>
      <c r="D132" s="86"/>
      <c r="E132" s="86"/>
      <c r="F132" s="86"/>
      <c r="G132" s="86"/>
      <c r="H132" s="90"/>
    </row>
    <row r="133" spans="2:8">
      <c r="B133" s="117" t="s">
        <v>5</v>
      </c>
      <c r="C133" s="72" t="str">
        <f>C6</f>
        <v>FY22</v>
      </c>
      <c r="D133" s="72" t="str">
        <f>D6</f>
        <v>FY23</v>
      </c>
      <c r="E133" s="72" t="str">
        <f>E6</f>
        <v>FY24</v>
      </c>
      <c r="F133" s="72" t="str">
        <f>F6</f>
        <v>FY25</v>
      </c>
      <c r="G133" s="72" t="str">
        <f>G6</f>
        <v>FY26</v>
      </c>
      <c r="H133" s="90"/>
    </row>
    <row r="134" spans="2:8">
      <c r="B134" s="67" t="s">
        <v>241</v>
      </c>
      <c r="C134" s="89"/>
      <c r="D134" s="89"/>
      <c r="E134" s="89"/>
      <c r="F134" s="89"/>
      <c r="G134" s="89"/>
      <c r="H134" s="90"/>
    </row>
    <row r="135" spans="2:8">
      <c r="B135" s="67" t="s">
        <v>244</v>
      </c>
      <c r="C135" s="16"/>
      <c r="D135" s="16"/>
      <c r="E135" s="16"/>
      <c r="F135" s="16"/>
      <c r="G135" s="16"/>
      <c r="H135" s="90"/>
    </row>
    <row r="136" spans="2:8">
      <c r="B136" s="167" t="s">
        <v>243</v>
      </c>
      <c r="C136" s="89"/>
      <c r="D136" s="89"/>
      <c r="E136" s="89"/>
      <c r="F136" s="89"/>
      <c r="G136" s="89"/>
      <c r="H136" s="90"/>
    </row>
    <row r="137" spans="2:8" hidden="1">
      <c r="B137" s="67"/>
      <c r="C137" s="89"/>
      <c r="D137" s="89"/>
      <c r="E137" s="89"/>
      <c r="F137" s="89"/>
      <c r="G137" s="89"/>
      <c r="H137" s="90"/>
    </row>
    <row r="138" spans="2:8" hidden="1">
      <c r="B138" s="67"/>
      <c r="C138" s="89"/>
      <c r="D138" s="89"/>
      <c r="E138" s="89"/>
      <c r="F138" s="89"/>
      <c r="G138" s="89"/>
      <c r="H138" s="90"/>
    </row>
    <row r="139" spans="2:8" hidden="1">
      <c r="B139" s="67"/>
      <c r="C139" s="89"/>
      <c r="D139" s="89"/>
      <c r="E139" s="89"/>
      <c r="F139" s="89"/>
      <c r="G139" s="89"/>
      <c r="H139" s="90"/>
    </row>
    <row r="140" spans="2:8">
      <c r="B140" s="67" t="s">
        <v>242</v>
      </c>
      <c r="C140" s="170"/>
      <c r="D140" s="170"/>
      <c r="E140" s="170"/>
      <c r="F140" s="170"/>
      <c r="G140" s="170"/>
      <c r="H140" s="90"/>
    </row>
    <row r="141" spans="2:8">
      <c r="B141" s="119" t="s">
        <v>33</v>
      </c>
      <c r="C141" s="92">
        <f>SUM(C134:C140)</f>
        <v>0</v>
      </c>
      <c r="D141" s="92">
        <f t="shared" ref="D141:E141" si="14">SUM(D134:D140)</f>
        <v>0</v>
      </c>
      <c r="E141" s="92">
        <f t="shared" si="14"/>
        <v>0</v>
      </c>
      <c r="F141" s="92">
        <f>SUM(F134:F140)</f>
        <v>0</v>
      </c>
      <c r="G141" s="92">
        <f>SUM(G134:G140)</f>
        <v>0</v>
      </c>
      <c r="H141" s="90"/>
    </row>
    <row r="142" spans="2:8">
      <c r="B142" s="118"/>
      <c r="C142" s="176"/>
      <c r="D142" s="176"/>
      <c r="E142" s="176"/>
      <c r="F142" s="176"/>
      <c r="G142" s="176"/>
      <c r="H142" s="90"/>
    </row>
    <row r="143" spans="2:8">
      <c r="B143" s="124" t="s">
        <v>38</v>
      </c>
      <c r="C143" s="86"/>
      <c r="D143" s="86"/>
      <c r="E143" s="86"/>
      <c r="F143" s="86"/>
      <c r="G143" s="86"/>
      <c r="H143" s="83"/>
    </row>
    <row r="144" spans="2:8">
      <c r="B144" s="117" t="s">
        <v>5</v>
      </c>
      <c r="C144" s="72" t="str">
        <f>C6</f>
        <v>FY22</v>
      </c>
      <c r="D144" s="72" t="str">
        <f>D6</f>
        <v>FY23</v>
      </c>
      <c r="E144" s="72" t="str">
        <f>E6</f>
        <v>FY24</v>
      </c>
      <c r="F144" s="72" t="str">
        <f>F6</f>
        <v>FY25</v>
      </c>
      <c r="G144" s="72" t="str">
        <f>G6</f>
        <v>FY26</v>
      </c>
    </row>
    <row r="145" spans="2:9">
      <c r="B145" s="121" t="s">
        <v>70</v>
      </c>
    </row>
    <row r="146" spans="2:9">
      <c r="B146" s="121" t="s">
        <v>71</v>
      </c>
      <c r="C146" s="171"/>
      <c r="D146" s="171"/>
      <c r="E146" s="171"/>
      <c r="F146" s="171"/>
      <c r="G146" s="171"/>
      <c r="H146" s="73"/>
    </row>
    <row r="147" spans="2:9" hidden="1">
      <c r="B147" s="121"/>
    </row>
    <row r="148" spans="2:9" hidden="1">
      <c r="B148" s="121"/>
    </row>
    <row r="149" spans="2:9">
      <c r="B149" s="121" t="s">
        <v>100</v>
      </c>
      <c r="C149" s="16"/>
      <c r="D149" s="16"/>
      <c r="E149" s="16"/>
      <c r="F149" s="16"/>
      <c r="G149" s="16"/>
      <c r="I149" s="263"/>
    </row>
    <row r="150" spans="2:9">
      <c r="B150" s="126" t="s">
        <v>72</v>
      </c>
      <c r="C150" s="82">
        <f>SUM(C145:C149)</f>
        <v>0</v>
      </c>
      <c r="D150" s="82">
        <f t="shared" ref="D150:E150" si="15">SUM(D145:D149)</f>
        <v>0</v>
      </c>
      <c r="E150" s="82">
        <f t="shared" si="15"/>
        <v>0</v>
      </c>
      <c r="F150" s="82">
        <f>SUM(F145:F149)</f>
        <v>0</v>
      </c>
      <c r="G150" s="82">
        <f>SUM(G145:G149)</f>
        <v>0</v>
      </c>
    </row>
    <row r="151" spans="2:9">
      <c r="B151" s="68" t="s">
        <v>73</v>
      </c>
      <c r="C151" s="75"/>
      <c r="D151" s="75"/>
      <c r="E151" s="75"/>
      <c r="F151" s="75"/>
      <c r="G151" s="75"/>
      <c r="H151" s="70"/>
    </row>
    <row r="152" spans="2:9">
      <c r="B152" s="133" t="s">
        <v>189</v>
      </c>
      <c r="C152" s="91"/>
      <c r="D152" s="91"/>
      <c r="E152" s="91"/>
      <c r="F152" s="91"/>
      <c r="G152" s="91"/>
    </row>
    <row r="153" spans="2:9">
      <c r="B153" s="134" t="s">
        <v>5</v>
      </c>
      <c r="C153" s="72" t="str">
        <f>C6</f>
        <v>FY22</v>
      </c>
      <c r="D153" s="72" t="str">
        <f>D6</f>
        <v>FY23</v>
      </c>
      <c r="E153" s="72" t="str">
        <f>E6</f>
        <v>FY24</v>
      </c>
      <c r="F153" s="72" t="str">
        <f>F6</f>
        <v>FY25</v>
      </c>
      <c r="G153" s="72" t="str">
        <f>G6</f>
        <v>FY26</v>
      </c>
    </row>
    <row r="154" spans="2:9">
      <c r="B154" s="172" t="s">
        <v>238</v>
      </c>
      <c r="H154" s="73"/>
    </row>
    <row r="155" spans="2:9">
      <c r="B155" s="173" t="s">
        <v>101</v>
      </c>
      <c r="H155" s="89"/>
    </row>
    <row r="156" spans="2:9">
      <c r="B156" s="135" t="s">
        <v>33</v>
      </c>
      <c r="C156" s="94">
        <f>C154-C155</f>
        <v>0</v>
      </c>
      <c r="D156" s="94">
        <f t="shared" ref="D156:E156" si="16">D154-D155</f>
        <v>0</v>
      </c>
      <c r="E156" s="94">
        <f t="shared" si="16"/>
        <v>0</v>
      </c>
      <c r="F156" s="94">
        <f>F154-F155</f>
        <v>0</v>
      </c>
      <c r="G156" s="94">
        <f>G154-G155</f>
        <v>0</v>
      </c>
      <c r="H156" s="89"/>
    </row>
    <row r="158" spans="2:9">
      <c r="B158" s="133" t="s">
        <v>74</v>
      </c>
      <c r="C158" s="91"/>
      <c r="D158" s="91"/>
      <c r="E158" s="91"/>
      <c r="F158" s="91"/>
      <c r="G158" s="91"/>
      <c r="H158" s="70"/>
    </row>
    <row r="159" spans="2:9">
      <c r="B159" s="134" t="s">
        <v>5</v>
      </c>
      <c r="C159" s="72" t="str">
        <f>C6</f>
        <v>FY22</v>
      </c>
      <c r="D159" s="72" t="str">
        <f>D6</f>
        <v>FY23</v>
      </c>
      <c r="E159" s="72" t="str">
        <f>E6</f>
        <v>FY24</v>
      </c>
      <c r="F159" s="72" t="str">
        <f>F6</f>
        <v>FY25</v>
      </c>
      <c r="G159" s="72" t="str">
        <f>G6</f>
        <v>FY26</v>
      </c>
    </row>
    <row r="160" spans="2:9">
      <c r="B160" s="63" t="s">
        <v>195</v>
      </c>
      <c r="C160" s="16"/>
      <c r="D160" s="16"/>
      <c r="E160" s="16"/>
      <c r="F160" s="16"/>
      <c r="G160" s="16"/>
    </row>
    <row r="161" spans="2:8">
      <c r="B161" s="63" t="s">
        <v>75</v>
      </c>
      <c r="C161" s="89"/>
      <c r="D161" s="89"/>
      <c r="E161" s="89"/>
      <c r="F161" s="89"/>
      <c r="G161" s="89"/>
      <c r="H161" s="73"/>
    </row>
    <row r="162" spans="2:8" hidden="1">
      <c r="C162" s="16"/>
      <c r="D162" s="16"/>
      <c r="E162" s="16"/>
      <c r="F162" s="16"/>
      <c r="G162" s="16"/>
    </row>
    <row r="163" spans="2:8" hidden="1">
      <c r="C163" s="16"/>
      <c r="D163" s="16"/>
      <c r="E163" s="16"/>
      <c r="F163" s="16"/>
      <c r="G163" s="16"/>
    </row>
    <row r="164" spans="2:8" hidden="1">
      <c r="C164" s="16"/>
      <c r="D164" s="16"/>
      <c r="E164" s="16"/>
      <c r="F164" s="16"/>
      <c r="G164" s="16"/>
    </row>
    <row r="165" spans="2:8">
      <c r="B165" s="136" t="s">
        <v>196</v>
      </c>
      <c r="H165" s="89"/>
    </row>
    <row r="166" spans="2:8">
      <c r="B166" s="135" t="s">
        <v>33</v>
      </c>
      <c r="C166" s="94">
        <f>SUM(C160:C165)</f>
        <v>0</v>
      </c>
      <c r="D166" s="94">
        <f t="shared" ref="D166:G166" si="17">SUM(D160:D165)</f>
        <v>0</v>
      </c>
      <c r="E166" s="94">
        <f t="shared" si="17"/>
        <v>0</v>
      </c>
      <c r="F166" s="94">
        <f t="shared" si="17"/>
        <v>0</v>
      </c>
      <c r="G166" s="94">
        <f t="shared" si="17"/>
        <v>0</v>
      </c>
      <c r="H166" s="89"/>
    </row>
    <row r="167" spans="2:8">
      <c r="H167" s="70"/>
    </row>
    <row r="168" spans="2:8">
      <c r="B168" s="133" t="s">
        <v>76</v>
      </c>
      <c r="C168" s="91"/>
      <c r="D168" s="91"/>
      <c r="E168" s="91"/>
      <c r="F168" s="91"/>
      <c r="G168" s="91"/>
      <c r="H168" s="70"/>
    </row>
    <row r="169" spans="2:8">
      <c r="B169" s="134" t="s">
        <v>5</v>
      </c>
      <c r="C169" s="72" t="str">
        <f>C6</f>
        <v>FY22</v>
      </c>
      <c r="D169" s="72" t="str">
        <f>D6</f>
        <v>FY23</v>
      </c>
      <c r="E169" s="72" t="str">
        <f>E6</f>
        <v>FY24</v>
      </c>
      <c r="F169" s="72" t="str">
        <f>F6</f>
        <v>FY25</v>
      </c>
      <c r="G169" s="72" t="str">
        <f>G6</f>
        <v>FY26</v>
      </c>
      <c r="H169" s="70"/>
    </row>
    <row r="170" spans="2:8">
      <c r="B170" s="63" t="s">
        <v>197</v>
      </c>
      <c r="C170" s="89"/>
      <c r="D170" s="89"/>
      <c r="E170" s="89"/>
      <c r="F170" s="89"/>
      <c r="G170" s="89"/>
    </row>
    <row r="171" spans="2:8">
      <c r="B171" s="63" t="s">
        <v>199</v>
      </c>
      <c r="C171" s="89"/>
      <c r="D171" s="89"/>
      <c r="E171" s="89"/>
      <c r="F171" s="89"/>
      <c r="G171" s="89"/>
    </row>
    <row r="172" spans="2:8" hidden="1">
      <c r="C172" s="89"/>
      <c r="D172" s="89"/>
      <c r="E172" s="89"/>
      <c r="F172" s="89"/>
      <c r="G172" s="89"/>
    </row>
    <row r="173" spans="2:8" hidden="1">
      <c r="C173" s="89"/>
      <c r="D173" s="89"/>
      <c r="E173" s="89"/>
      <c r="F173" s="89"/>
      <c r="G173" s="89"/>
    </row>
    <row r="174" spans="2:8" hidden="1">
      <c r="C174" s="89"/>
      <c r="D174" s="89"/>
      <c r="E174" s="89"/>
      <c r="F174" s="89"/>
      <c r="G174" s="89"/>
    </row>
    <row r="175" spans="2:8" hidden="1">
      <c r="C175" s="89"/>
      <c r="D175" s="89"/>
      <c r="E175" s="89"/>
      <c r="F175" s="89"/>
      <c r="G175" s="89"/>
    </row>
    <row r="176" spans="2:8">
      <c r="B176" s="63" t="s">
        <v>198</v>
      </c>
      <c r="C176" s="89"/>
      <c r="D176" s="89"/>
      <c r="E176" s="89"/>
      <c r="F176" s="89"/>
      <c r="G176" s="89"/>
      <c r="H176" s="73"/>
    </row>
    <row r="177" spans="2:8" ht="16.5" thickBot="1">
      <c r="B177" s="137" t="s">
        <v>33</v>
      </c>
      <c r="C177" s="95">
        <f t="shared" ref="C177:G177" si="18">SUM(C170:C176)</f>
        <v>0</v>
      </c>
      <c r="D177" s="95">
        <f t="shared" si="18"/>
        <v>0</v>
      </c>
      <c r="E177" s="95">
        <f t="shared" si="18"/>
        <v>0</v>
      </c>
      <c r="F177" s="95">
        <f t="shared" si="18"/>
        <v>0</v>
      </c>
      <c r="G177" s="95">
        <f t="shared" si="18"/>
        <v>0</v>
      </c>
      <c r="H177" s="93"/>
    </row>
    <row r="178" spans="2:8">
      <c r="B178" s="64"/>
      <c r="C178" s="70"/>
      <c r="D178" s="70"/>
      <c r="E178" s="70"/>
      <c r="F178" s="70"/>
      <c r="G178" s="70"/>
      <c r="H178" s="85"/>
    </row>
    <row r="179" spans="2:8">
      <c r="B179" s="124" t="s">
        <v>77</v>
      </c>
      <c r="C179" s="86"/>
      <c r="D179" s="86"/>
      <c r="E179" s="86"/>
      <c r="F179" s="86"/>
      <c r="G179" s="86"/>
    </row>
    <row r="180" spans="2:8">
      <c r="B180" s="117" t="s">
        <v>5</v>
      </c>
      <c r="C180" s="72" t="str">
        <f>C6</f>
        <v>FY22</v>
      </c>
      <c r="D180" s="72" t="str">
        <f>D6</f>
        <v>FY23</v>
      </c>
      <c r="E180" s="72" t="str">
        <f>E6</f>
        <v>FY24</v>
      </c>
      <c r="F180" s="72" t="str">
        <f>F6</f>
        <v>FY25</v>
      </c>
      <c r="G180" s="72" t="str">
        <f>G6</f>
        <v>FY26</v>
      </c>
    </row>
    <row r="181" spans="2:8">
      <c r="B181" s="121" t="s">
        <v>108</v>
      </c>
      <c r="C181" s="80"/>
      <c r="D181" s="80"/>
      <c r="E181" s="80"/>
      <c r="F181" s="80"/>
      <c r="G181" s="80"/>
    </row>
    <row r="182" spans="2:8">
      <c r="B182" s="121" t="s">
        <v>280</v>
      </c>
      <c r="C182" s="80"/>
      <c r="D182" s="80"/>
      <c r="E182" s="80"/>
      <c r="F182" s="80"/>
      <c r="G182" s="80"/>
    </row>
    <row r="183" spans="2:8" hidden="1">
      <c r="B183" s="121"/>
      <c r="C183" s="80"/>
      <c r="D183" s="80"/>
      <c r="E183" s="80"/>
      <c r="F183" s="80"/>
      <c r="G183" s="80"/>
    </row>
    <row r="184" spans="2:8" hidden="1">
      <c r="B184" s="121"/>
      <c r="C184" s="80"/>
      <c r="D184" s="80"/>
      <c r="E184" s="80"/>
      <c r="F184" s="80"/>
      <c r="G184" s="80"/>
    </row>
    <row r="185" spans="2:8">
      <c r="B185" s="121" t="s">
        <v>78</v>
      </c>
      <c r="C185" s="16"/>
      <c r="D185" s="16"/>
      <c r="E185" s="16"/>
      <c r="F185" s="16"/>
      <c r="G185" s="16"/>
      <c r="H185" s="73"/>
    </row>
    <row r="186" spans="2:8">
      <c r="B186" s="126" t="s">
        <v>33</v>
      </c>
      <c r="C186" s="88">
        <f t="shared" ref="C186" si="19">SUM(C181:C185)</f>
        <v>0</v>
      </c>
      <c r="D186" s="88">
        <f t="shared" ref="D186:E186" si="20">SUM(D181:D185)</f>
        <v>0</v>
      </c>
      <c r="E186" s="88">
        <f t="shared" si="20"/>
        <v>0</v>
      </c>
      <c r="F186" s="88">
        <f>SUM(F181:F185)</f>
        <v>0</v>
      </c>
      <c r="G186" s="88">
        <f>SUM(G181:G185)</f>
        <v>0</v>
      </c>
      <c r="H186" s="90"/>
    </row>
    <row r="187" spans="2:8">
      <c r="B187" s="68" t="s">
        <v>73</v>
      </c>
      <c r="C187" s="75"/>
      <c r="D187" s="75"/>
      <c r="E187" s="75"/>
      <c r="F187" s="75"/>
      <c r="G187" s="75"/>
      <c r="H187" s="90"/>
    </row>
    <row r="188" spans="2:8">
      <c r="B188" s="133" t="s">
        <v>79</v>
      </c>
      <c r="C188" s="91"/>
      <c r="D188" s="91"/>
      <c r="E188" s="91"/>
      <c r="F188" s="91"/>
      <c r="G188" s="91"/>
      <c r="H188" s="90"/>
    </row>
    <row r="189" spans="2:8">
      <c r="B189" s="118" t="s">
        <v>5</v>
      </c>
      <c r="C189" s="72" t="str">
        <f>C6</f>
        <v>FY22</v>
      </c>
      <c r="D189" s="72" t="str">
        <f>D6</f>
        <v>FY23</v>
      </c>
      <c r="E189" s="72" t="str">
        <f>E6</f>
        <v>FY24</v>
      </c>
      <c r="F189" s="72" t="str">
        <f>F6</f>
        <v>FY25</v>
      </c>
      <c r="G189" s="72" t="str">
        <f>G6</f>
        <v>FY26</v>
      </c>
      <c r="H189" s="85"/>
    </row>
    <row r="190" spans="2:8">
      <c r="B190" s="132" t="s">
        <v>250</v>
      </c>
      <c r="C190" s="93"/>
      <c r="D190" s="93"/>
      <c r="E190" s="93"/>
      <c r="F190" s="93"/>
      <c r="G190" s="93"/>
    </row>
    <row r="191" spans="2:8">
      <c r="B191" s="121" t="s">
        <v>251</v>
      </c>
      <c r="C191" s="93"/>
      <c r="D191" s="93"/>
      <c r="E191" s="93"/>
      <c r="F191" s="93"/>
      <c r="G191" s="93"/>
    </row>
    <row r="192" spans="2:8">
      <c r="B192" s="121" t="s">
        <v>260</v>
      </c>
      <c r="H192" s="73"/>
    </row>
    <row r="193" spans="2:8" hidden="1">
      <c r="B193" s="132"/>
      <c r="C193" s="93"/>
      <c r="D193" s="93"/>
      <c r="E193" s="93"/>
      <c r="F193" s="93"/>
      <c r="G193" s="93"/>
    </row>
    <row r="194" spans="2:8" hidden="1">
      <c r="B194" s="132"/>
      <c r="C194" s="93"/>
      <c r="D194" s="93"/>
      <c r="E194" s="93"/>
      <c r="F194" s="93"/>
      <c r="G194" s="93"/>
    </row>
    <row r="195" spans="2:8" hidden="1">
      <c r="B195" s="132"/>
      <c r="C195" s="93"/>
      <c r="D195" s="93"/>
      <c r="E195" s="93"/>
      <c r="F195" s="93"/>
      <c r="G195" s="93"/>
    </row>
    <row r="196" spans="2:8">
      <c r="B196" s="63" t="s">
        <v>252</v>
      </c>
      <c r="C196" s="80"/>
      <c r="D196" s="80"/>
      <c r="E196" s="80"/>
      <c r="F196" s="80"/>
      <c r="G196" s="80"/>
    </row>
    <row r="197" spans="2:8">
      <c r="B197" s="126" t="s">
        <v>33</v>
      </c>
      <c r="C197" s="88">
        <f>SUM(C190:C196)</f>
        <v>0</v>
      </c>
      <c r="D197" s="88">
        <f t="shared" ref="D197:E197" si="21">SUM(D190:D196)</f>
        <v>0</v>
      </c>
      <c r="E197" s="88">
        <f t="shared" si="21"/>
        <v>0</v>
      </c>
      <c r="F197" s="88">
        <f>SUM(F190:F196)</f>
        <v>0</v>
      </c>
      <c r="G197" s="88">
        <f>SUM(G190:G196)</f>
        <v>0</v>
      </c>
    </row>
    <row r="198" spans="2:8">
      <c r="B198" s="67"/>
      <c r="C198" s="75"/>
      <c r="D198" s="75"/>
      <c r="E198" s="75"/>
      <c r="F198" s="75"/>
      <c r="G198" s="75"/>
    </row>
    <row r="199" spans="2:8">
      <c r="B199" s="116" t="s">
        <v>258</v>
      </c>
      <c r="C199" s="71"/>
      <c r="D199" s="71"/>
      <c r="E199" s="71"/>
      <c r="F199" s="71"/>
      <c r="G199" s="71"/>
    </row>
    <row r="200" spans="2:8">
      <c r="B200" s="117" t="s">
        <v>5</v>
      </c>
      <c r="C200" s="72" t="str">
        <f>C6</f>
        <v>FY22</v>
      </c>
      <c r="D200" s="72" t="str">
        <f>D6</f>
        <v>FY23</v>
      </c>
      <c r="E200" s="72" t="str">
        <f>E6</f>
        <v>FY24</v>
      </c>
      <c r="F200" s="72" t="str">
        <f>F6</f>
        <v>FY25</v>
      </c>
      <c r="G200" s="72" t="str">
        <f>G6</f>
        <v>FY26</v>
      </c>
      <c r="H200" s="83"/>
    </row>
    <row r="201" spans="2:8">
      <c r="B201" s="68" t="s">
        <v>109</v>
      </c>
      <c r="C201" s="96"/>
      <c r="D201" s="96"/>
      <c r="E201" s="96"/>
      <c r="F201" s="96"/>
      <c r="G201" s="96"/>
    </row>
    <row r="202" spans="2:8">
      <c r="B202" s="68" t="s">
        <v>110</v>
      </c>
      <c r="C202" s="96">
        <f t="shared" ref="C202:G202" si="22">C203-C204</f>
        <v>0</v>
      </c>
      <c r="D202" s="96">
        <f t="shared" si="22"/>
        <v>0</v>
      </c>
      <c r="E202" s="96">
        <f t="shared" si="22"/>
        <v>0</v>
      </c>
      <c r="F202" s="96">
        <f t="shared" si="22"/>
        <v>0</v>
      </c>
      <c r="G202" s="96">
        <f t="shared" si="22"/>
        <v>0</v>
      </c>
    </row>
    <row r="203" spans="2:8">
      <c r="B203" s="138" t="s">
        <v>111</v>
      </c>
      <c r="C203" s="96"/>
      <c r="D203" s="96"/>
      <c r="E203" s="96"/>
      <c r="F203" s="96"/>
      <c r="G203" s="96"/>
      <c r="H203" s="73"/>
    </row>
    <row r="204" spans="2:8">
      <c r="B204" s="138" t="s">
        <v>112</v>
      </c>
      <c r="H204" s="90"/>
    </row>
    <row r="205" spans="2:8">
      <c r="B205" s="126" t="s">
        <v>33</v>
      </c>
      <c r="C205" s="82">
        <f>C201+C202</f>
        <v>0</v>
      </c>
      <c r="D205" s="82">
        <f t="shared" ref="D205:E205" si="23">D201+D202</f>
        <v>0</v>
      </c>
      <c r="E205" s="82">
        <f t="shared" si="23"/>
        <v>0</v>
      </c>
      <c r="F205" s="82">
        <f>F201+F202</f>
        <v>0</v>
      </c>
      <c r="G205" s="82">
        <f>G201+G202</f>
        <v>0</v>
      </c>
      <c r="H205" s="90"/>
    </row>
    <row r="206" spans="2:8">
      <c r="B206" s="67"/>
      <c r="C206" s="75"/>
      <c r="D206" s="75"/>
      <c r="E206" s="75"/>
      <c r="F206" s="75"/>
      <c r="G206" s="75"/>
    </row>
    <row r="207" spans="2:8">
      <c r="B207" s="116" t="s">
        <v>80</v>
      </c>
      <c r="C207" s="71"/>
      <c r="D207" s="71"/>
      <c r="E207" s="71"/>
      <c r="F207" s="71"/>
      <c r="G207" s="71"/>
      <c r="H207" s="90"/>
    </row>
    <row r="208" spans="2:8">
      <c r="B208" s="117" t="s">
        <v>5</v>
      </c>
      <c r="C208" s="72" t="str">
        <f>C6</f>
        <v>FY22</v>
      </c>
      <c r="D208" s="72" t="str">
        <f>D6</f>
        <v>FY23</v>
      </c>
      <c r="E208" s="72" t="str">
        <f>E6</f>
        <v>FY24</v>
      </c>
      <c r="F208" s="72" t="str">
        <f>F6</f>
        <v>FY25</v>
      </c>
      <c r="G208" s="72" t="str">
        <f>G6</f>
        <v>FY26</v>
      </c>
      <c r="H208" s="90"/>
    </row>
    <row r="209" spans="2:8">
      <c r="B209" s="121" t="s">
        <v>102</v>
      </c>
      <c r="C209" s="93"/>
      <c r="D209" s="93"/>
      <c r="E209" s="93"/>
      <c r="F209" s="93"/>
      <c r="G209" s="93"/>
      <c r="H209" s="90"/>
    </row>
    <row r="210" spans="2:8">
      <c r="B210" s="121" t="s">
        <v>114</v>
      </c>
      <c r="H210" s="90"/>
    </row>
    <row r="211" spans="2:8">
      <c r="B211" s="139" t="s">
        <v>81</v>
      </c>
      <c r="H211" s="90"/>
    </row>
    <row r="212" spans="2:8">
      <c r="B212" s="122" t="s">
        <v>103</v>
      </c>
      <c r="C212" s="93"/>
      <c r="D212" s="93"/>
      <c r="E212" s="93"/>
      <c r="F212" s="93"/>
      <c r="G212" s="93"/>
      <c r="H212" s="90"/>
    </row>
    <row r="213" spans="2:8">
      <c r="B213" s="122" t="s">
        <v>104</v>
      </c>
      <c r="C213" s="93"/>
      <c r="D213" s="93"/>
      <c r="E213" s="93"/>
      <c r="F213" s="93"/>
      <c r="G213" s="93"/>
      <c r="H213" s="97"/>
    </row>
    <row r="214" spans="2:8">
      <c r="B214" s="122" t="s">
        <v>113</v>
      </c>
      <c r="C214" s="93"/>
      <c r="D214" s="93"/>
      <c r="E214" s="93"/>
      <c r="F214" s="93"/>
      <c r="G214" s="93"/>
      <c r="H214" s="97"/>
    </row>
    <row r="215" spans="2:8">
      <c r="B215" s="122" t="s">
        <v>115</v>
      </c>
      <c r="C215" s="93"/>
      <c r="D215" s="93"/>
      <c r="E215" s="93"/>
      <c r="F215" s="93"/>
      <c r="G215" s="93"/>
      <c r="H215" s="97"/>
    </row>
    <row r="216" spans="2:8">
      <c r="B216" s="139" t="s">
        <v>13</v>
      </c>
      <c r="C216" s="93"/>
      <c r="D216" s="93"/>
      <c r="E216" s="93"/>
      <c r="F216" s="93"/>
      <c r="G216" s="93"/>
      <c r="H216" s="97"/>
    </row>
    <row r="217" spans="2:8">
      <c r="B217" s="122" t="s">
        <v>116</v>
      </c>
      <c r="C217" s="93"/>
      <c r="D217" s="93"/>
      <c r="E217" s="93"/>
      <c r="F217" s="93"/>
      <c r="G217" s="93"/>
      <c r="H217" s="85"/>
    </row>
    <row r="218" spans="2:8">
      <c r="B218" s="122" t="s">
        <v>117</v>
      </c>
      <c r="C218" s="93"/>
      <c r="D218" s="93"/>
      <c r="E218" s="93"/>
      <c r="F218" s="93"/>
      <c r="G218" s="93"/>
    </row>
    <row r="219" spans="2:8">
      <c r="B219" s="122" t="s">
        <v>118</v>
      </c>
      <c r="C219" s="93"/>
      <c r="D219" s="93"/>
      <c r="E219" s="93"/>
      <c r="F219" s="93"/>
      <c r="G219" s="93"/>
    </row>
    <row r="220" spans="2:8">
      <c r="B220" s="122" t="s">
        <v>119</v>
      </c>
      <c r="C220" s="93"/>
      <c r="D220" s="93"/>
      <c r="E220" s="93"/>
      <c r="F220" s="93"/>
      <c r="G220" s="93"/>
      <c r="H220" s="73"/>
    </row>
    <row r="221" spans="2:8" hidden="1">
      <c r="B221" s="121"/>
      <c r="C221" s="93"/>
      <c r="D221" s="93"/>
      <c r="E221" s="93"/>
      <c r="F221" s="93"/>
      <c r="G221" s="93"/>
      <c r="H221" s="90"/>
    </row>
    <row r="222" spans="2:8" hidden="1">
      <c r="B222" s="121"/>
      <c r="C222" s="93"/>
      <c r="D222" s="93"/>
      <c r="E222" s="93"/>
      <c r="F222" s="93"/>
      <c r="G222" s="93"/>
      <c r="H222" s="90"/>
    </row>
    <row r="223" spans="2:8" hidden="1">
      <c r="B223" s="121"/>
      <c r="C223" s="93"/>
      <c r="D223" s="93"/>
      <c r="E223" s="93"/>
      <c r="F223" s="93"/>
      <c r="G223" s="93"/>
      <c r="H223" s="90"/>
    </row>
    <row r="224" spans="2:8" hidden="1">
      <c r="B224" s="121"/>
      <c r="C224" s="93"/>
      <c r="D224" s="93"/>
      <c r="E224" s="93"/>
      <c r="F224" s="93"/>
      <c r="G224" s="93"/>
      <c r="H224" s="90"/>
    </row>
    <row r="225" spans="2:43">
      <c r="B225" s="122" t="s">
        <v>120</v>
      </c>
      <c r="C225" s="93"/>
      <c r="D225" s="93"/>
      <c r="E225" s="93"/>
      <c r="F225" s="93"/>
      <c r="G225" s="93"/>
      <c r="AK225" s="5"/>
      <c r="AL225" s="5"/>
      <c r="AM225" s="5"/>
      <c r="AN225" s="5"/>
      <c r="AO225" s="5"/>
      <c r="AP225" s="5"/>
      <c r="AQ225" s="5"/>
    </row>
    <row r="226" spans="2:43">
      <c r="B226" s="126" t="s">
        <v>33</v>
      </c>
      <c r="C226" s="88">
        <f>SUM(C209:C225)</f>
        <v>0</v>
      </c>
      <c r="D226" s="88">
        <f t="shared" ref="D226:E226" si="24">SUM(D209:D225)</f>
        <v>0</v>
      </c>
      <c r="E226" s="88">
        <f t="shared" si="24"/>
        <v>0</v>
      </c>
      <c r="F226" s="88">
        <f>SUM(F209:F225)</f>
        <v>0</v>
      </c>
      <c r="G226" s="88">
        <f>SUM(G209:G225)</f>
        <v>0</v>
      </c>
      <c r="H226" s="85"/>
    </row>
    <row r="227" spans="2:43">
      <c r="B227" s="66"/>
      <c r="C227" s="84"/>
      <c r="D227" s="84"/>
      <c r="E227" s="84"/>
      <c r="F227" s="84"/>
      <c r="G227" s="84"/>
    </row>
    <row r="228" spans="2:43">
      <c r="B228" s="124" t="s">
        <v>82</v>
      </c>
      <c r="C228" s="86"/>
      <c r="D228" s="86"/>
      <c r="E228" s="86"/>
      <c r="F228" s="86"/>
      <c r="G228" s="86"/>
    </row>
    <row r="229" spans="2:43">
      <c r="B229" s="117" t="s">
        <v>5</v>
      </c>
      <c r="C229" s="72" t="str">
        <f>C6</f>
        <v>FY22</v>
      </c>
      <c r="D229" s="72" t="str">
        <f>D6</f>
        <v>FY23</v>
      </c>
      <c r="E229" s="72" t="str">
        <f>E6</f>
        <v>FY24</v>
      </c>
      <c r="F229" s="72" t="str">
        <f>F6</f>
        <v>FY25</v>
      </c>
      <c r="G229" s="72" t="str">
        <f>G6</f>
        <v>FY26</v>
      </c>
    </row>
    <row r="230" spans="2:43">
      <c r="B230" s="16" t="s">
        <v>15</v>
      </c>
      <c r="C230" s="73"/>
      <c r="D230" s="73"/>
      <c r="E230" s="73"/>
      <c r="F230" s="73"/>
      <c r="G230" s="73"/>
    </row>
    <row r="231" spans="2:43" hidden="1">
      <c r="B231" s="16"/>
      <c r="C231" s="73"/>
      <c r="D231" s="73"/>
      <c r="E231" s="73"/>
      <c r="F231" s="73"/>
      <c r="G231" s="73"/>
    </row>
    <row r="232" spans="2:43" hidden="1">
      <c r="B232" s="16"/>
      <c r="C232" s="73"/>
      <c r="D232" s="73"/>
      <c r="E232" s="73"/>
      <c r="F232" s="73"/>
      <c r="G232" s="73"/>
    </row>
    <row r="233" spans="2:43">
      <c r="B233" s="16" t="s">
        <v>233</v>
      </c>
      <c r="C233" s="97"/>
      <c r="D233" s="97"/>
      <c r="E233" s="97"/>
      <c r="F233" s="97"/>
      <c r="G233" s="97"/>
    </row>
    <row r="234" spans="2:43">
      <c r="B234" s="126" t="s">
        <v>33</v>
      </c>
      <c r="C234" s="88">
        <f>SUM(C230:C233)</f>
        <v>0</v>
      </c>
      <c r="D234" s="88">
        <f t="shared" ref="D234:E234" si="25">SUM(D230:D233)</f>
        <v>0</v>
      </c>
      <c r="E234" s="88">
        <f t="shared" si="25"/>
        <v>0</v>
      </c>
      <c r="F234" s="88">
        <f>SUM(F230:F233)</f>
        <v>0</v>
      </c>
      <c r="G234" s="88">
        <f>SUM(G230:G233)</f>
        <v>0</v>
      </c>
    </row>
    <row r="235" spans="2:43">
      <c r="B235" s="66"/>
      <c r="C235" s="84"/>
      <c r="D235" s="84"/>
      <c r="E235" s="84"/>
      <c r="F235" s="84"/>
      <c r="G235" s="84"/>
    </row>
    <row r="236" spans="2:43">
      <c r="B236" s="124" t="s">
        <v>121</v>
      </c>
      <c r="C236" s="86"/>
      <c r="D236" s="86"/>
      <c r="E236" s="86"/>
      <c r="F236" s="86"/>
      <c r="G236" s="86"/>
    </row>
    <row r="237" spans="2:43">
      <c r="B237" s="117" t="s">
        <v>5</v>
      </c>
      <c r="C237" s="72" t="str">
        <f>C6</f>
        <v>FY22</v>
      </c>
      <c r="D237" s="72" t="str">
        <f>D6</f>
        <v>FY23</v>
      </c>
      <c r="E237" s="72" t="str">
        <f>E6</f>
        <v>FY24</v>
      </c>
      <c r="F237" s="72" t="str">
        <f>F6</f>
        <v>FY25</v>
      </c>
      <c r="G237" s="72" t="str">
        <f>G6</f>
        <v>FY26</v>
      </c>
    </row>
    <row r="238" spans="2:43">
      <c r="B238" s="140" t="s">
        <v>122</v>
      </c>
      <c r="C238" s="97"/>
      <c r="D238" s="97"/>
      <c r="E238" s="97"/>
      <c r="F238" s="97"/>
      <c r="G238" s="97"/>
    </row>
    <row r="239" spans="2:43">
      <c r="B239" s="138" t="s">
        <v>123</v>
      </c>
      <c r="C239" s="97"/>
      <c r="D239" s="97"/>
      <c r="E239" s="97"/>
      <c r="F239" s="97"/>
      <c r="G239" s="97"/>
    </row>
    <row r="240" spans="2:43">
      <c r="B240" s="138" t="s">
        <v>124</v>
      </c>
      <c r="C240" s="97"/>
      <c r="D240" s="97"/>
      <c r="E240" s="97"/>
      <c r="F240" s="97"/>
      <c r="G240" s="97"/>
      <c r="H240" s="73"/>
    </row>
    <row r="241" spans="2:8" hidden="1">
      <c r="B241" s="138"/>
      <c r="C241" s="97"/>
      <c r="D241" s="97"/>
      <c r="E241" s="97"/>
      <c r="F241" s="97"/>
      <c r="G241" s="97"/>
    </row>
    <row r="242" spans="2:8" hidden="1">
      <c r="B242" s="138"/>
      <c r="C242" s="97"/>
      <c r="D242" s="97"/>
      <c r="E242" s="97"/>
      <c r="F242" s="97"/>
      <c r="G242" s="97"/>
    </row>
    <row r="243" spans="2:8" hidden="1">
      <c r="B243" s="138"/>
      <c r="C243" s="97"/>
      <c r="D243" s="97"/>
      <c r="E243" s="97"/>
      <c r="F243" s="97"/>
      <c r="G243" s="97"/>
    </row>
    <row r="244" spans="2:8">
      <c r="B244" s="68" t="s">
        <v>84</v>
      </c>
      <c r="C244" s="97"/>
      <c r="D244" s="97"/>
      <c r="E244" s="97"/>
      <c r="F244" s="97"/>
      <c r="G244" s="97"/>
      <c r="H244" s="74"/>
    </row>
    <row r="245" spans="2:8">
      <c r="B245" s="126" t="s">
        <v>33</v>
      </c>
      <c r="C245" s="88">
        <f>SUM(C239:C244)</f>
        <v>0</v>
      </c>
      <c r="D245" s="88">
        <f t="shared" ref="D245:E245" si="26">SUM(D239:D244)</f>
        <v>0</v>
      </c>
      <c r="E245" s="88">
        <f t="shared" si="26"/>
        <v>0</v>
      </c>
      <c r="F245" s="88">
        <f>SUM(F239:F244)</f>
        <v>0</v>
      </c>
      <c r="G245" s="88">
        <f>SUM(G239:G244)</f>
        <v>0</v>
      </c>
      <c r="H245" s="89"/>
    </row>
    <row r="246" spans="2:8">
      <c r="B246" s="66"/>
      <c r="C246" s="85"/>
      <c r="D246" s="85"/>
      <c r="E246" s="85"/>
      <c r="F246" s="85"/>
      <c r="G246" s="85"/>
      <c r="H246" s="89"/>
    </row>
    <row r="247" spans="2:8">
      <c r="B247" s="124" t="s">
        <v>16</v>
      </c>
      <c r="C247" s="86"/>
      <c r="D247" s="86"/>
      <c r="E247" s="86"/>
      <c r="F247" s="86"/>
      <c r="G247" s="86"/>
      <c r="H247" s="89"/>
    </row>
    <row r="248" spans="2:8">
      <c r="B248" s="117" t="s">
        <v>5</v>
      </c>
      <c r="C248" s="72" t="str">
        <f>C6</f>
        <v>FY22</v>
      </c>
      <c r="D248" s="72" t="str">
        <f>D6</f>
        <v>FY23</v>
      </c>
      <c r="E248" s="72" t="str">
        <f>E6</f>
        <v>FY24</v>
      </c>
      <c r="F248" s="72" t="str">
        <f>F6</f>
        <v>FY25</v>
      </c>
      <c r="G248" s="72" t="str">
        <f>G6</f>
        <v>FY26</v>
      </c>
      <c r="H248" s="89"/>
    </row>
    <row r="249" spans="2:8">
      <c r="B249" s="140" t="s">
        <v>17</v>
      </c>
      <c r="C249" s="97"/>
      <c r="D249" s="97"/>
      <c r="E249" s="97"/>
      <c r="F249" s="97"/>
      <c r="G249" s="97"/>
      <c r="H249" s="89"/>
    </row>
    <row r="250" spans="2:8">
      <c r="B250" s="174" t="s">
        <v>239</v>
      </c>
      <c r="C250" s="97"/>
      <c r="D250" s="97"/>
      <c r="E250" s="97"/>
      <c r="F250" s="97"/>
      <c r="G250" s="97"/>
      <c r="H250" s="89"/>
    </row>
    <row r="251" spans="2:8">
      <c r="B251" s="174" t="s">
        <v>18</v>
      </c>
      <c r="C251" s="97"/>
      <c r="D251" s="97"/>
      <c r="E251" s="97"/>
      <c r="F251" s="97"/>
      <c r="G251" s="97"/>
      <c r="H251" s="89"/>
    </row>
    <row r="252" spans="2:8" hidden="1">
      <c r="B252" s="140"/>
      <c r="C252" s="97"/>
      <c r="D252" s="97"/>
      <c r="E252" s="97"/>
      <c r="F252" s="97"/>
      <c r="G252" s="97"/>
      <c r="H252" s="89"/>
    </row>
    <row r="253" spans="2:8" hidden="1">
      <c r="B253" s="140"/>
      <c r="C253" s="97"/>
      <c r="D253" s="97"/>
      <c r="E253" s="97"/>
      <c r="F253" s="97"/>
      <c r="G253" s="97"/>
      <c r="H253" s="89"/>
    </row>
    <row r="254" spans="2:8">
      <c r="B254" s="68" t="s">
        <v>240</v>
      </c>
      <c r="C254" s="97"/>
      <c r="D254" s="97"/>
      <c r="E254" s="97"/>
      <c r="F254" s="97"/>
      <c r="G254" s="97"/>
      <c r="H254" s="89"/>
    </row>
    <row r="255" spans="2:8">
      <c r="B255" s="126" t="s">
        <v>33</v>
      </c>
      <c r="C255" s="88">
        <f>SUM(C249:C254)</f>
        <v>0</v>
      </c>
      <c r="D255" s="88">
        <f t="shared" ref="D255:E255" si="27">SUM(D249:D254)</f>
        <v>0</v>
      </c>
      <c r="E255" s="88">
        <f t="shared" si="27"/>
        <v>0</v>
      </c>
      <c r="F255" s="88">
        <f>SUM(F249:F254)</f>
        <v>0</v>
      </c>
      <c r="G255" s="88">
        <f>SUM(G249:G254)</f>
        <v>0</v>
      </c>
      <c r="H255" s="89"/>
    </row>
    <row r="256" spans="2:8">
      <c r="B256" s="66"/>
      <c r="C256" s="85"/>
      <c r="D256" s="85"/>
      <c r="E256" s="85"/>
      <c r="F256" s="85"/>
      <c r="G256" s="85"/>
      <c r="H256" s="89"/>
    </row>
    <row r="257" spans="1:18">
      <c r="B257" s="124" t="s">
        <v>13</v>
      </c>
      <c r="C257" s="86"/>
      <c r="D257" s="86"/>
      <c r="E257" s="86"/>
      <c r="F257" s="86"/>
      <c r="G257" s="86"/>
      <c r="H257" s="89"/>
      <c r="I257" s="264" t="s">
        <v>3</v>
      </c>
      <c r="J257" s="265"/>
      <c r="K257" s="265"/>
      <c r="L257" s="265"/>
      <c r="M257" s="265"/>
      <c r="O257" s="264" t="s">
        <v>274</v>
      </c>
      <c r="P257" s="265"/>
      <c r="Q257" s="265"/>
      <c r="R257" s="265"/>
    </row>
    <row r="258" spans="1:18">
      <c r="B258" s="117" t="s">
        <v>5</v>
      </c>
      <c r="C258" s="72" t="str">
        <f>C6</f>
        <v>FY22</v>
      </c>
      <c r="D258" s="72" t="str">
        <f>D6</f>
        <v>FY23</v>
      </c>
      <c r="E258" s="72" t="str">
        <f>E6</f>
        <v>FY24</v>
      </c>
      <c r="F258" s="72" t="str">
        <f>F6</f>
        <v>FY25</v>
      </c>
      <c r="G258" s="72" t="str">
        <f>G6</f>
        <v>FY26</v>
      </c>
      <c r="H258" s="89"/>
      <c r="I258" s="266" t="str">
        <f>C6</f>
        <v>FY22</v>
      </c>
      <c r="J258" s="266" t="str">
        <f t="shared" ref="J258:M258" si="28">D6</f>
        <v>FY23</v>
      </c>
      <c r="K258" s="266" t="str">
        <f t="shared" si="28"/>
        <v>FY24</v>
      </c>
      <c r="L258" s="266" t="str">
        <f t="shared" si="28"/>
        <v>FY25</v>
      </c>
      <c r="M258" s="266" t="str">
        <f t="shared" si="28"/>
        <v>FY26</v>
      </c>
      <c r="O258" s="266" t="str">
        <f t="shared" ref="O258:R258" si="29">D6</f>
        <v>FY23</v>
      </c>
      <c r="P258" s="266" t="str">
        <f t="shared" si="29"/>
        <v>FY24</v>
      </c>
      <c r="Q258" s="266" t="str">
        <f t="shared" si="29"/>
        <v>FY25</v>
      </c>
      <c r="R258" s="266" t="str">
        <f t="shared" si="29"/>
        <v>FY26</v>
      </c>
    </row>
    <row r="259" spans="1:18" s="252" customFormat="1">
      <c r="A259" s="253"/>
      <c r="B259" s="254" t="s">
        <v>159</v>
      </c>
      <c r="C259" s="255">
        <f>SUM(C260:C284)</f>
        <v>0</v>
      </c>
      <c r="D259" s="255">
        <f t="shared" ref="D259:G259" si="30">SUM(D260:D284)</f>
        <v>0</v>
      </c>
      <c r="E259" s="255">
        <f t="shared" si="30"/>
        <v>0</v>
      </c>
      <c r="F259" s="255">
        <f t="shared" si="30"/>
        <v>0</v>
      </c>
      <c r="G259" s="255">
        <f t="shared" si="30"/>
        <v>0</v>
      </c>
      <c r="H259" s="256"/>
      <c r="I259" s="267">
        <f>IFERROR(C259/C$186,0)</f>
        <v>0</v>
      </c>
      <c r="J259" s="267">
        <f t="shared" ref="J259:M259" si="31">IFERROR(D259/D$186,0)</f>
        <v>0</v>
      </c>
      <c r="K259" s="267">
        <f t="shared" si="31"/>
        <v>0</v>
      </c>
      <c r="L259" s="267">
        <f t="shared" si="31"/>
        <v>0</v>
      </c>
      <c r="M259" s="267">
        <f t="shared" si="31"/>
        <v>0</v>
      </c>
      <c r="N259" s="267"/>
      <c r="O259" s="267">
        <f>IFERROR(D259/C259-1,0)</f>
        <v>0</v>
      </c>
      <c r="P259" s="267">
        <f t="shared" ref="P259:R259" si="32">IFERROR(E259/D259-1,0)</f>
        <v>0</v>
      </c>
      <c r="Q259" s="267">
        <f t="shared" si="32"/>
        <v>0</v>
      </c>
      <c r="R259" s="267">
        <f t="shared" si="32"/>
        <v>0</v>
      </c>
    </row>
    <row r="260" spans="1:18">
      <c r="B260" s="138" t="s">
        <v>125</v>
      </c>
      <c r="C260" s="89"/>
      <c r="D260" s="89"/>
      <c r="E260" s="89"/>
      <c r="F260" s="89"/>
      <c r="G260" s="89"/>
      <c r="H260" s="74"/>
      <c r="I260" s="262">
        <f t="shared" ref="I260:I323" si="33">IFERROR(C260/C$186,0)</f>
        <v>0</v>
      </c>
      <c r="J260" s="262">
        <f t="shared" ref="J260:J284" si="34">IFERROR(D260/D$186,0)</f>
        <v>0</v>
      </c>
      <c r="K260" s="262">
        <f t="shared" ref="K260:K284" si="35">IFERROR(E260/E$186,0)</f>
        <v>0</v>
      </c>
      <c r="L260" s="262">
        <f t="shared" ref="L260:L284" si="36">IFERROR(F260/F$186,0)</f>
        <v>0</v>
      </c>
      <c r="M260" s="262">
        <f t="shared" ref="M260:M284" si="37">IFERROR(G260/G$186,0)</f>
        <v>0</v>
      </c>
      <c r="O260" s="262">
        <f t="shared" ref="O260:O286" si="38">IFERROR(D260/C260-1,0)</f>
        <v>0</v>
      </c>
      <c r="P260" s="262">
        <f t="shared" ref="P260:P284" si="39">IFERROR(E260/D260-1,0)</f>
        <v>0</v>
      </c>
      <c r="Q260" s="262">
        <f t="shared" ref="Q260:Q284" si="40">IFERROR(F260/E260-1,0)</f>
        <v>0</v>
      </c>
      <c r="R260" s="262">
        <f t="shared" ref="R260:R284" si="41">IFERROR(G260/F260-1,0)</f>
        <v>0</v>
      </c>
    </row>
    <row r="261" spans="1:18">
      <c r="B261" s="251" t="s">
        <v>268</v>
      </c>
      <c r="C261" s="89"/>
      <c r="D261" s="89"/>
      <c r="E261" s="89"/>
      <c r="F261" s="89"/>
      <c r="G261" s="89"/>
      <c r="H261" s="74"/>
      <c r="I261" s="262">
        <f t="shared" si="33"/>
        <v>0</v>
      </c>
      <c r="J261" s="262">
        <f t="shared" si="34"/>
        <v>0</v>
      </c>
      <c r="K261" s="262">
        <f t="shared" si="35"/>
        <v>0</v>
      </c>
      <c r="L261" s="262">
        <f t="shared" si="36"/>
        <v>0</v>
      </c>
      <c r="M261" s="262">
        <f t="shared" si="37"/>
        <v>0</v>
      </c>
      <c r="O261" s="262">
        <f t="shared" si="38"/>
        <v>0</v>
      </c>
      <c r="P261" s="262">
        <f t="shared" si="39"/>
        <v>0</v>
      </c>
      <c r="Q261" s="262">
        <f t="shared" si="40"/>
        <v>0</v>
      </c>
      <c r="R261" s="262">
        <f t="shared" si="41"/>
        <v>0</v>
      </c>
    </row>
    <row r="262" spans="1:18">
      <c r="B262" s="251" t="s">
        <v>269</v>
      </c>
      <c r="C262" s="89"/>
      <c r="D262" s="89"/>
      <c r="E262" s="89"/>
      <c r="F262" s="89"/>
      <c r="G262" s="89"/>
      <c r="H262" s="74"/>
      <c r="I262" s="262">
        <f t="shared" si="33"/>
        <v>0</v>
      </c>
      <c r="J262" s="262">
        <f t="shared" si="34"/>
        <v>0</v>
      </c>
      <c r="K262" s="262">
        <f t="shared" si="35"/>
        <v>0</v>
      </c>
      <c r="L262" s="262">
        <f t="shared" si="36"/>
        <v>0</v>
      </c>
      <c r="M262" s="262">
        <f t="shared" si="37"/>
        <v>0</v>
      </c>
      <c r="O262" s="262">
        <f t="shared" si="38"/>
        <v>0</v>
      </c>
      <c r="P262" s="262">
        <f t="shared" si="39"/>
        <v>0</v>
      </c>
      <c r="Q262" s="262">
        <f t="shared" si="40"/>
        <v>0</v>
      </c>
      <c r="R262" s="262">
        <f t="shared" si="41"/>
        <v>0</v>
      </c>
    </row>
    <row r="263" spans="1:18">
      <c r="B263" s="251" t="s">
        <v>270</v>
      </c>
      <c r="C263" s="89"/>
      <c r="D263" s="89"/>
      <c r="E263" s="89"/>
      <c r="F263" s="89"/>
      <c r="G263" s="89"/>
      <c r="H263" s="74"/>
      <c r="I263" s="262">
        <f t="shared" si="33"/>
        <v>0</v>
      </c>
      <c r="J263" s="262">
        <f t="shared" si="34"/>
        <v>0</v>
      </c>
      <c r="K263" s="262">
        <f t="shared" si="35"/>
        <v>0</v>
      </c>
      <c r="L263" s="262">
        <f t="shared" si="36"/>
        <v>0</v>
      </c>
      <c r="M263" s="262">
        <f t="shared" si="37"/>
        <v>0</v>
      </c>
      <c r="O263" s="262">
        <f t="shared" si="38"/>
        <v>0</v>
      </c>
      <c r="P263" s="262">
        <f t="shared" si="39"/>
        <v>0</v>
      </c>
      <c r="Q263" s="262">
        <f t="shared" si="40"/>
        <v>0</v>
      </c>
      <c r="R263" s="262">
        <f t="shared" si="41"/>
        <v>0</v>
      </c>
    </row>
    <row r="264" spans="1:18">
      <c r="B264" s="251" t="s">
        <v>271</v>
      </c>
      <c r="C264" s="89"/>
      <c r="D264" s="89"/>
      <c r="E264" s="89"/>
      <c r="F264" s="89"/>
      <c r="G264" s="89"/>
      <c r="H264" s="74"/>
      <c r="I264" s="262">
        <f t="shared" si="33"/>
        <v>0</v>
      </c>
      <c r="J264" s="262">
        <f t="shared" si="34"/>
        <v>0</v>
      </c>
      <c r="K264" s="262">
        <f t="shared" si="35"/>
        <v>0</v>
      </c>
      <c r="L264" s="262">
        <f t="shared" si="36"/>
        <v>0</v>
      </c>
      <c r="M264" s="262">
        <f t="shared" si="37"/>
        <v>0</v>
      </c>
      <c r="O264" s="262">
        <f t="shared" si="38"/>
        <v>0</v>
      </c>
      <c r="P264" s="262">
        <f t="shared" si="39"/>
        <v>0</v>
      </c>
      <c r="Q264" s="262">
        <f t="shared" si="40"/>
        <v>0</v>
      </c>
      <c r="R264" s="262">
        <f t="shared" si="41"/>
        <v>0</v>
      </c>
    </row>
    <row r="265" spans="1:18">
      <c r="B265" s="251" t="s">
        <v>272</v>
      </c>
      <c r="C265" s="89"/>
      <c r="D265" s="89"/>
      <c r="E265" s="89"/>
      <c r="F265" s="89"/>
      <c r="G265" s="89"/>
      <c r="H265" s="74"/>
      <c r="I265" s="262">
        <f t="shared" si="33"/>
        <v>0</v>
      </c>
      <c r="J265" s="262">
        <f t="shared" si="34"/>
        <v>0</v>
      </c>
      <c r="K265" s="262">
        <f t="shared" si="35"/>
        <v>0</v>
      </c>
      <c r="L265" s="262">
        <f t="shared" si="36"/>
        <v>0</v>
      </c>
      <c r="M265" s="262">
        <f t="shared" si="37"/>
        <v>0</v>
      </c>
      <c r="O265" s="262">
        <f t="shared" si="38"/>
        <v>0</v>
      </c>
      <c r="P265" s="262">
        <f t="shared" si="39"/>
        <v>0</v>
      </c>
      <c r="Q265" s="262">
        <f t="shared" si="40"/>
        <v>0</v>
      </c>
      <c r="R265" s="262">
        <f t="shared" si="41"/>
        <v>0</v>
      </c>
    </row>
    <row r="266" spans="1:18">
      <c r="B266" s="251" t="s">
        <v>273</v>
      </c>
      <c r="C266" s="89"/>
      <c r="D266" s="89"/>
      <c r="E266" s="89"/>
      <c r="F266" s="89"/>
      <c r="G266" s="89"/>
      <c r="H266" s="74"/>
      <c r="I266" s="262">
        <f t="shared" si="33"/>
        <v>0</v>
      </c>
      <c r="J266" s="262">
        <f t="shared" si="34"/>
        <v>0</v>
      </c>
      <c r="K266" s="262">
        <f t="shared" si="35"/>
        <v>0</v>
      </c>
      <c r="L266" s="262">
        <f t="shared" si="36"/>
        <v>0</v>
      </c>
      <c r="M266" s="262">
        <f t="shared" si="37"/>
        <v>0</v>
      </c>
      <c r="O266" s="262">
        <f t="shared" si="38"/>
        <v>0</v>
      </c>
      <c r="P266" s="262">
        <f t="shared" si="39"/>
        <v>0</v>
      </c>
      <c r="Q266" s="262">
        <f t="shared" si="40"/>
        <v>0</v>
      </c>
      <c r="R266" s="262">
        <f t="shared" si="41"/>
        <v>0</v>
      </c>
    </row>
    <row r="267" spans="1:18">
      <c r="B267" s="138" t="s">
        <v>126</v>
      </c>
      <c r="C267" s="89"/>
      <c r="D267" s="89"/>
      <c r="E267" s="89"/>
      <c r="F267" s="89"/>
      <c r="G267" s="89"/>
      <c r="H267" s="89"/>
      <c r="I267" s="262">
        <f t="shared" si="33"/>
        <v>0</v>
      </c>
      <c r="J267" s="262">
        <f t="shared" si="34"/>
        <v>0</v>
      </c>
      <c r="K267" s="262">
        <f t="shared" si="35"/>
        <v>0</v>
      </c>
      <c r="L267" s="262">
        <f t="shared" si="36"/>
        <v>0</v>
      </c>
      <c r="M267" s="262">
        <f t="shared" si="37"/>
        <v>0</v>
      </c>
      <c r="O267" s="262">
        <f t="shared" si="38"/>
        <v>0</v>
      </c>
      <c r="P267" s="262">
        <f t="shared" si="39"/>
        <v>0</v>
      </c>
      <c r="Q267" s="262">
        <f t="shared" si="40"/>
        <v>0</v>
      </c>
      <c r="R267" s="262">
        <f t="shared" si="41"/>
        <v>0</v>
      </c>
    </row>
    <row r="268" spans="1:18">
      <c r="B268" s="138" t="s">
        <v>281</v>
      </c>
      <c r="C268" s="89"/>
      <c r="D268" s="89"/>
      <c r="E268" s="89"/>
      <c r="F268" s="89"/>
      <c r="G268" s="89"/>
      <c r="H268" s="74"/>
      <c r="I268" s="262">
        <f t="shared" ref="I268:I283" si="42">IFERROR(C268/C$186,0)</f>
        <v>0</v>
      </c>
      <c r="J268" s="262">
        <f t="shared" ref="J268:J283" si="43">IFERROR(D268/D$186,0)</f>
        <v>0</v>
      </c>
      <c r="K268" s="262">
        <f t="shared" ref="K268:K283" si="44">IFERROR(E268/E$186,0)</f>
        <v>0</v>
      </c>
      <c r="L268" s="262">
        <f t="shared" ref="L268:L283" si="45">IFERROR(F268/F$186,0)</f>
        <v>0</v>
      </c>
      <c r="M268" s="262">
        <f t="shared" ref="M268:M283" si="46">IFERROR(G268/G$186,0)</f>
        <v>0</v>
      </c>
      <c r="O268" s="262">
        <f t="shared" ref="O268:O283" si="47">IFERROR(D268/C268-1,0)</f>
        <v>0</v>
      </c>
      <c r="P268" s="262">
        <f t="shared" ref="P268:P283" si="48">IFERROR(E268/D268-1,0)</f>
        <v>0</v>
      </c>
      <c r="Q268" s="262">
        <f t="shared" ref="Q268:Q283" si="49">IFERROR(F268/E268-1,0)</f>
        <v>0</v>
      </c>
      <c r="R268" s="262">
        <f t="shared" ref="R268:R283" si="50">IFERROR(G268/F268-1,0)</f>
        <v>0</v>
      </c>
    </row>
    <row r="269" spans="1:18">
      <c r="B269" s="138" t="s">
        <v>282</v>
      </c>
      <c r="C269" s="89"/>
      <c r="D269" s="89"/>
      <c r="E269" s="89"/>
      <c r="F269" s="89"/>
      <c r="G269" s="89"/>
      <c r="H269" s="74"/>
      <c r="I269" s="262">
        <f t="shared" si="42"/>
        <v>0</v>
      </c>
      <c r="J269" s="262">
        <f t="shared" si="43"/>
        <v>0</v>
      </c>
      <c r="K269" s="262">
        <f t="shared" si="44"/>
        <v>0</v>
      </c>
      <c r="L269" s="262">
        <f t="shared" si="45"/>
        <v>0</v>
      </c>
      <c r="M269" s="262">
        <f t="shared" si="46"/>
        <v>0</v>
      </c>
      <c r="O269" s="262">
        <f t="shared" si="47"/>
        <v>0</v>
      </c>
      <c r="P269" s="262">
        <f t="shared" si="48"/>
        <v>0</v>
      </c>
      <c r="Q269" s="262">
        <f t="shared" si="49"/>
        <v>0</v>
      </c>
      <c r="R269" s="262">
        <f t="shared" si="50"/>
        <v>0</v>
      </c>
    </row>
    <row r="270" spans="1:18">
      <c r="B270" s="138" t="s">
        <v>283</v>
      </c>
      <c r="C270" s="89"/>
      <c r="D270" s="89"/>
      <c r="E270" s="89"/>
      <c r="F270" s="89"/>
      <c r="G270" s="89"/>
      <c r="H270" s="74"/>
      <c r="I270" s="262">
        <f t="shared" si="42"/>
        <v>0</v>
      </c>
      <c r="J270" s="262">
        <f t="shared" si="43"/>
        <v>0</v>
      </c>
      <c r="K270" s="262">
        <f t="shared" si="44"/>
        <v>0</v>
      </c>
      <c r="L270" s="262">
        <f t="shared" si="45"/>
        <v>0</v>
      </c>
      <c r="M270" s="262">
        <f t="shared" si="46"/>
        <v>0</v>
      </c>
      <c r="O270" s="262">
        <f t="shared" si="47"/>
        <v>0</v>
      </c>
      <c r="P270" s="262">
        <f t="shared" si="48"/>
        <v>0</v>
      </c>
      <c r="Q270" s="262">
        <f t="shared" si="49"/>
        <v>0</v>
      </c>
      <c r="R270" s="262">
        <f t="shared" si="50"/>
        <v>0</v>
      </c>
    </row>
    <row r="271" spans="1:18">
      <c r="B271" s="138" t="s">
        <v>284</v>
      </c>
      <c r="C271" s="89"/>
      <c r="D271" s="89"/>
      <c r="E271" s="89"/>
      <c r="F271" s="89"/>
      <c r="G271" s="89"/>
      <c r="H271" s="74"/>
      <c r="I271" s="262">
        <f t="shared" si="42"/>
        <v>0</v>
      </c>
      <c r="J271" s="262">
        <f t="shared" si="43"/>
        <v>0</v>
      </c>
      <c r="K271" s="262">
        <f t="shared" si="44"/>
        <v>0</v>
      </c>
      <c r="L271" s="262">
        <f t="shared" si="45"/>
        <v>0</v>
      </c>
      <c r="M271" s="262">
        <f t="shared" si="46"/>
        <v>0</v>
      </c>
      <c r="O271" s="262">
        <f t="shared" si="47"/>
        <v>0</v>
      </c>
      <c r="P271" s="262">
        <f t="shared" si="48"/>
        <v>0</v>
      </c>
      <c r="Q271" s="262">
        <f t="shared" si="49"/>
        <v>0</v>
      </c>
      <c r="R271" s="262">
        <f t="shared" si="50"/>
        <v>0</v>
      </c>
    </row>
    <row r="272" spans="1:18">
      <c r="B272" s="138" t="s">
        <v>285</v>
      </c>
      <c r="C272" s="89"/>
      <c r="D272" s="89"/>
      <c r="E272" s="89"/>
      <c r="F272" s="89"/>
      <c r="G272" s="89"/>
      <c r="H272" s="74"/>
      <c r="I272" s="262">
        <f t="shared" si="42"/>
        <v>0</v>
      </c>
      <c r="J272" s="262">
        <f t="shared" si="43"/>
        <v>0</v>
      </c>
      <c r="K272" s="262">
        <f t="shared" si="44"/>
        <v>0</v>
      </c>
      <c r="L272" s="262">
        <f t="shared" si="45"/>
        <v>0</v>
      </c>
      <c r="M272" s="262">
        <f t="shared" si="46"/>
        <v>0</v>
      </c>
      <c r="O272" s="262">
        <f t="shared" si="47"/>
        <v>0</v>
      </c>
      <c r="P272" s="262">
        <f t="shared" si="48"/>
        <v>0</v>
      </c>
      <c r="Q272" s="262">
        <f t="shared" si="49"/>
        <v>0</v>
      </c>
      <c r="R272" s="262">
        <f t="shared" si="50"/>
        <v>0</v>
      </c>
    </row>
    <row r="273" spans="1:18">
      <c r="B273" s="138" t="s">
        <v>128</v>
      </c>
      <c r="C273" s="89"/>
      <c r="D273" s="89"/>
      <c r="E273" s="89"/>
      <c r="F273" s="89"/>
      <c r="G273" s="89"/>
      <c r="H273" s="74"/>
      <c r="I273" s="262">
        <f t="shared" si="42"/>
        <v>0</v>
      </c>
      <c r="J273" s="262">
        <f t="shared" si="43"/>
        <v>0</v>
      </c>
      <c r="K273" s="262">
        <f t="shared" si="44"/>
        <v>0</v>
      </c>
      <c r="L273" s="262">
        <f t="shared" si="45"/>
        <v>0</v>
      </c>
      <c r="M273" s="262">
        <f t="shared" si="46"/>
        <v>0</v>
      </c>
      <c r="O273" s="262">
        <f t="shared" si="47"/>
        <v>0</v>
      </c>
      <c r="P273" s="262">
        <f t="shared" si="48"/>
        <v>0</v>
      </c>
      <c r="Q273" s="262">
        <f t="shared" si="49"/>
        <v>0</v>
      </c>
      <c r="R273" s="262">
        <f t="shared" si="50"/>
        <v>0</v>
      </c>
    </row>
    <row r="274" spans="1:18">
      <c r="B274" s="138" t="s">
        <v>286</v>
      </c>
      <c r="C274" s="89"/>
      <c r="D274" s="89"/>
      <c r="E274" s="89"/>
      <c r="F274" s="89"/>
      <c r="G274" s="89"/>
      <c r="H274" s="74"/>
      <c r="I274" s="262">
        <f t="shared" si="42"/>
        <v>0</v>
      </c>
      <c r="J274" s="262">
        <f t="shared" si="43"/>
        <v>0</v>
      </c>
      <c r="K274" s="262">
        <f t="shared" si="44"/>
        <v>0</v>
      </c>
      <c r="L274" s="262">
        <f t="shared" si="45"/>
        <v>0</v>
      </c>
      <c r="M274" s="262">
        <f t="shared" si="46"/>
        <v>0</v>
      </c>
      <c r="O274" s="262">
        <f t="shared" si="47"/>
        <v>0</v>
      </c>
      <c r="P274" s="262">
        <f t="shared" si="48"/>
        <v>0</v>
      </c>
      <c r="Q274" s="262">
        <f t="shared" si="49"/>
        <v>0</v>
      </c>
      <c r="R274" s="262">
        <f t="shared" si="50"/>
        <v>0</v>
      </c>
    </row>
    <row r="275" spans="1:18">
      <c r="B275" s="138" t="s">
        <v>287</v>
      </c>
      <c r="C275" s="89"/>
      <c r="D275" s="89"/>
      <c r="E275" s="89"/>
      <c r="F275" s="89"/>
      <c r="G275" s="89"/>
      <c r="H275" s="74"/>
      <c r="I275" s="262">
        <f t="shared" si="42"/>
        <v>0</v>
      </c>
      <c r="J275" s="262">
        <f t="shared" si="43"/>
        <v>0</v>
      </c>
      <c r="K275" s="262">
        <f t="shared" si="44"/>
        <v>0</v>
      </c>
      <c r="L275" s="262">
        <f t="shared" si="45"/>
        <v>0</v>
      </c>
      <c r="M275" s="262">
        <f t="shared" si="46"/>
        <v>0</v>
      </c>
      <c r="O275" s="262">
        <f t="shared" si="47"/>
        <v>0</v>
      </c>
      <c r="P275" s="262">
        <f t="shared" si="48"/>
        <v>0</v>
      </c>
      <c r="Q275" s="262">
        <f t="shared" si="49"/>
        <v>0</v>
      </c>
      <c r="R275" s="262">
        <f t="shared" si="50"/>
        <v>0</v>
      </c>
    </row>
    <row r="276" spans="1:18">
      <c r="B276" s="138" t="s">
        <v>288</v>
      </c>
      <c r="C276" s="89"/>
      <c r="D276" s="89"/>
      <c r="E276" s="89"/>
      <c r="F276" s="89"/>
      <c r="G276" s="89"/>
      <c r="H276" s="74"/>
      <c r="I276" s="262">
        <f t="shared" si="42"/>
        <v>0</v>
      </c>
      <c r="J276" s="262">
        <f t="shared" si="43"/>
        <v>0</v>
      </c>
      <c r="K276" s="262">
        <f t="shared" si="44"/>
        <v>0</v>
      </c>
      <c r="L276" s="262">
        <f t="shared" si="45"/>
        <v>0</v>
      </c>
      <c r="M276" s="262">
        <f t="shared" si="46"/>
        <v>0</v>
      </c>
      <c r="O276" s="262">
        <f t="shared" si="47"/>
        <v>0</v>
      </c>
      <c r="P276" s="262">
        <f t="shared" si="48"/>
        <v>0</v>
      </c>
      <c r="Q276" s="262">
        <f t="shared" si="49"/>
        <v>0</v>
      </c>
      <c r="R276" s="262">
        <f t="shared" si="50"/>
        <v>0</v>
      </c>
    </row>
    <row r="277" spans="1:18">
      <c r="B277" s="138" t="s">
        <v>289</v>
      </c>
      <c r="C277" s="89"/>
      <c r="D277" s="89"/>
      <c r="E277" s="89"/>
      <c r="F277" s="89"/>
      <c r="G277" s="89"/>
      <c r="H277" s="74"/>
      <c r="I277" s="262">
        <f t="shared" si="42"/>
        <v>0</v>
      </c>
      <c r="J277" s="262">
        <f t="shared" si="43"/>
        <v>0</v>
      </c>
      <c r="K277" s="262">
        <f t="shared" si="44"/>
        <v>0</v>
      </c>
      <c r="L277" s="262">
        <f t="shared" si="45"/>
        <v>0</v>
      </c>
      <c r="M277" s="262">
        <f t="shared" si="46"/>
        <v>0</v>
      </c>
      <c r="O277" s="262">
        <f t="shared" si="47"/>
        <v>0</v>
      </c>
      <c r="P277" s="262">
        <f t="shared" si="48"/>
        <v>0</v>
      </c>
      <c r="Q277" s="262">
        <f t="shared" si="49"/>
        <v>0</v>
      </c>
      <c r="R277" s="262">
        <f t="shared" si="50"/>
        <v>0</v>
      </c>
    </row>
    <row r="278" spans="1:18" hidden="1">
      <c r="B278" s="138"/>
      <c r="C278" s="89"/>
      <c r="D278" s="89"/>
      <c r="E278" s="89"/>
      <c r="F278" s="89"/>
      <c r="G278" s="89"/>
      <c r="H278" s="74"/>
      <c r="I278" s="262">
        <f t="shared" si="42"/>
        <v>0</v>
      </c>
      <c r="J278" s="262">
        <f t="shared" si="43"/>
        <v>0</v>
      </c>
      <c r="K278" s="262">
        <f t="shared" si="44"/>
        <v>0</v>
      </c>
      <c r="L278" s="262">
        <f t="shared" si="45"/>
        <v>0</v>
      </c>
      <c r="M278" s="262">
        <f t="shared" si="46"/>
        <v>0</v>
      </c>
      <c r="O278" s="262">
        <f t="shared" si="47"/>
        <v>0</v>
      </c>
      <c r="P278" s="262">
        <f t="shared" si="48"/>
        <v>0</v>
      </c>
      <c r="Q278" s="262">
        <f t="shared" si="49"/>
        <v>0</v>
      </c>
      <c r="R278" s="262">
        <f t="shared" si="50"/>
        <v>0</v>
      </c>
    </row>
    <row r="279" spans="1:18" hidden="1">
      <c r="B279" s="138"/>
      <c r="C279" s="89"/>
      <c r="D279" s="89"/>
      <c r="E279" s="89"/>
      <c r="F279" s="89"/>
      <c r="G279" s="89"/>
      <c r="H279" s="74"/>
      <c r="I279" s="262">
        <f t="shared" si="42"/>
        <v>0</v>
      </c>
      <c r="J279" s="262">
        <f t="shared" si="43"/>
        <v>0</v>
      </c>
      <c r="K279" s="262">
        <f t="shared" si="44"/>
        <v>0</v>
      </c>
      <c r="L279" s="262">
        <f t="shared" si="45"/>
        <v>0</v>
      </c>
      <c r="M279" s="262">
        <f t="shared" si="46"/>
        <v>0</v>
      </c>
      <c r="O279" s="262">
        <f t="shared" si="47"/>
        <v>0</v>
      </c>
      <c r="P279" s="262">
        <f t="shared" si="48"/>
        <v>0</v>
      </c>
      <c r="Q279" s="262">
        <f t="shared" si="49"/>
        <v>0</v>
      </c>
      <c r="R279" s="262">
        <f t="shared" si="50"/>
        <v>0</v>
      </c>
    </row>
    <row r="280" spans="1:18" hidden="1">
      <c r="B280" s="138"/>
      <c r="C280" s="89"/>
      <c r="D280" s="89"/>
      <c r="E280" s="89"/>
      <c r="F280" s="89"/>
      <c r="G280" s="89"/>
      <c r="H280" s="74"/>
      <c r="I280" s="262">
        <f t="shared" si="42"/>
        <v>0</v>
      </c>
      <c r="J280" s="262">
        <f t="shared" si="43"/>
        <v>0</v>
      </c>
      <c r="K280" s="262">
        <f t="shared" si="44"/>
        <v>0</v>
      </c>
      <c r="L280" s="262">
        <f t="shared" si="45"/>
        <v>0</v>
      </c>
      <c r="M280" s="262">
        <f t="shared" si="46"/>
        <v>0</v>
      </c>
      <c r="O280" s="262">
        <f t="shared" si="47"/>
        <v>0</v>
      </c>
      <c r="P280" s="262">
        <f t="shared" si="48"/>
        <v>0</v>
      </c>
      <c r="Q280" s="262">
        <f t="shared" si="49"/>
        <v>0</v>
      </c>
      <c r="R280" s="262">
        <f t="shared" si="50"/>
        <v>0</v>
      </c>
    </row>
    <row r="281" spans="1:18" hidden="1">
      <c r="B281" s="138"/>
      <c r="C281" s="89"/>
      <c r="D281" s="89"/>
      <c r="E281" s="89"/>
      <c r="F281" s="89"/>
      <c r="G281" s="89"/>
      <c r="H281" s="74"/>
      <c r="I281" s="262">
        <f t="shared" si="42"/>
        <v>0</v>
      </c>
      <c r="J281" s="262">
        <f t="shared" si="43"/>
        <v>0</v>
      </c>
      <c r="K281" s="262">
        <f t="shared" si="44"/>
        <v>0</v>
      </c>
      <c r="L281" s="262">
        <f t="shared" si="45"/>
        <v>0</v>
      </c>
      <c r="M281" s="262">
        <f t="shared" si="46"/>
        <v>0</v>
      </c>
      <c r="O281" s="262">
        <f t="shared" si="47"/>
        <v>0</v>
      </c>
      <c r="P281" s="262">
        <f t="shared" si="48"/>
        <v>0</v>
      </c>
      <c r="Q281" s="262">
        <f t="shared" si="49"/>
        <v>0</v>
      </c>
      <c r="R281" s="262">
        <f t="shared" si="50"/>
        <v>0</v>
      </c>
    </row>
    <row r="282" spans="1:18" hidden="1">
      <c r="B282" s="138"/>
      <c r="C282" s="89"/>
      <c r="D282" s="89"/>
      <c r="E282" s="89"/>
      <c r="F282" s="89"/>
      <c r="G282" s="89"/>
      <c r="H282" s="74"/>
      <c r="I282" s="262">
        <f t="shared" si="42"/>
        <v>0</v>
      </c>
      <c r="J282" s="262">
        <f t="shared" si="43"/>
        <v>0</v>
      </c>
      <c r="K282" s="262">
        <f t="shared" si="44"/>
        <v>0</v>
      </c>
      <c r="L282" s="262">
        <f t="shared" si="45"/>
        <v>0</v>
      </c>
      <c r="M282" s="262">
        <f t="shared" si="46"/>
        <v>0</v>
      </c>
      <c r="O282" s="262">
        <f t="shared" si="47"/>
        <v>0</v>
      </c>
      <c r="P282" s="262">
        <f t="shared" si="48"/>
        <v>0</v>
      </c>
      <c r="Q282" s="262">
        <f t="shared" si="49"/>
        <v>0</v>
      </c>
      <c r="R282" s="262">
        <f t="shared" si="50"/>
        <v>0</v>
      </c>
    </row>
    <row r="283" spans="1:18" hidden="1">
      <c r="B283" s="138"/>
      <c r="C283" s="89"/>
      <c r="D283" s="89"/>
      <c r="E283" s="89"/>
      <c r="F283" s="89"/>
      <c r="G283" s="89"/>
      <c r="H283" s="74"/>
      <c r="I283" s="262">
        <f t="shared" si="42"/>
        <v>0</v>
      </c>
      <c r="J283" s="262">
        <f t="shared" si="43"/>
        <v>0</v>
      </c>
      <c r="K283" s="262">
        <f t="shared" si="44"/>
        <v>0</v>
      </c>
      <c r="L283" s="262">
        <f t="shared" si="45"/>
        <v>0</v>
      </c>
      <c r="M283" s="262">
        <f t="shared" si="46"/>
        <v>0</v>
      </c>
      <c r="O283" s="262">
        <f t="shared" si="47"/>
        <v>0</v>
      </c>
      <c r="P283" s="262">
        <f t="shared" si="48"/>
        <v>0</v>
      </c>
      <c r="Q283" s="262">
        <f t="shared" si="49"/>
        <v>0</v>
      </c>
      <c r="R283" s="262">
        <f t="shared" si="50"/>
        <v>0</v>
      </c>
    </row>
    <row r="284" spans="1:18">
      <c r="B284" s="138" t="s">
        <v>127</v>
      </c>
      <c r="C284" s="89"/>
      <c r="D284" s="89"/>
      <c r="E284" s="89"/>
      <c r="F284" s="89"/>
      <c r="G284" s="89"/>
      <c r="I284" s="262">
        <f t="shared" si="33"/>
        <v>0</v>
      </c>
      <c r="J284" s="262">
        <f t="shared" si="34"/>
        <v>0</v>
      </c>
      <c r="K284" s="262">
        <f t="shared" si="35"/>
        <v>0</v>
      </c>
      <c r="L284" s="262">
        <f t="shared" si="36"/>
        <v>0</v>
      </c>
      <c r="M284" s="262">
        <f t="shared" si="37"/>
        <v>0</v>
      </c>
      <c r="O284" s="262">
        <f t="shared" si="38"/>
        <v>0</v>
      </c>
      <c r="P284" s="262">
        <f t="shared" si="39"/>
        <v>0</v>
      </c>
      <c r="Q284" s="262">
        <f t="shared" si="40"/>
        <v>0</v>
      </c>
      <c r="R284" s="262">
        <f t="shared" si="41"/>
        <v>0</v>
      </c>
    </row>
    <row r="285" spans="1:18">
      <c r="B285" s="138"/>
      <c r="C285" s="89"/>
      <c r="D285" s="89"/>
      <c r="E285" s="89"/>
      <c r="F285" s="89"/>
      <c r="G285" s="89"/>
    </row>
    <row r="286" spans="1:18" s="252" customFormat="1">
      <c r="A286" s="253"/>
      <c r="B286" s="257" t="s">
        <v>105</v>
      </c>
      <c r="C286" s="258">
        <f>SUM(C287:C321)</f>
        <v>0</v>
      </c>
      <c r="D286" s="258">
        <f t="shared" ref="D286:E286" si="51">SUM(D287:D321)</f>
        <v>0</v>
      </c>
      <c r="E286" s="258">
        <f t="shared" si="51"/>
        <v>0</v>
      </c>
      <c r="F286" s="258">
        <f>SUM(F287:F321)</f>
        <v>0</v>
      </c>
      <c r="G286" s="258">
        <f>SUM(G287:G321)</f>
        <v>0</v>
      </c>
      <c r="H286" s="259"/>
      <c r="I286" s="267">
        <f t="shared" si="33"/>
        <v>0</v>
      </c>
      <c r="J286" s="267">
        <f t="shared" ref="J286:J321" si="52">IFERROR(D286/D$186,0)</f>
        <v>0</v>
      </c>
      <c r="K286" s="267">
        <f t="shared" ref="K286:K321" si="53">IFERROR(E286/E$186,0)</f>
        <v>0</v>
      </c>
      <c r="L286" s="267">
        <f t="shared" ref="L286:L321" si="54">IFERROR(F286/F$186,0)</f>
        <v>0</v>
      </c>
      <c r="M286" s="267">
        <f t="shared" ref="M286:M321" si="55">IFERROR(G286/G$186,0)</f>
        <v>0</v>
      </c>
      <c r="N286" s="267"/>
      <c r="O286" s="267">
        <f t="shared" si="38"/>
        <v>0</v>
      </c>
      <c r="P286" s="267">
        <f t="shared" ref="P286" si="56">IFERROR(E286/D286-1,0)</f>
        <v>0</v>
      </c>
      <c r="Q286" s="267">
        <f t="shared" ref="Q286" si="57">IFERROR(F286/E286-1,0)</f>
        <v>0</v>
      </c>
      <c r="R286" s="267">
        <f t="shared" ref="R286" si="58">IFERROR(G286/F286-1,0)</f>
        <v>0</v>
      </c>
    </row>
    <row r="287" spans="1:18">
      <c r="B287" s="249" t="s">
        <v>261</v>
      </c>
      <c r="C287" s="80"/>
      <c r="D287" s="80"/>
      <c r="E287" s="80"/>
      <c r="F287" s="80"/>
      <c r="G287" s="80"/>
      <c r="H287" s="110"/>
      <c r="I287" s="262">
        <f t="shared" si="33"/>
        <v>0</v>
      </c>
      <c r="J287" s="262">
        <f t="shared" si="52"/>
        <v>0</v>
      </c>
      <c r="K287" s="262">
        <f t="shared" si="53"/>
        <v>0</v>
      </c>
      <c r="L287" s="262">
        <f t="shared" si="54"/>
        <v>0</v>
      </c>
      <c r="M287" s="262">
        <f t="shared" si="55"/>
        <v>0</v>
      </c>
      <c r="O287" s="262">
        <f t="shared" ref="O287:O323" si="59">IFERROR(D287/C287-1,0)</f>
        <v>0</v>
      </c>
      <c r="P287" s="262">
        <f t="shared" ref="P287:P321" si="60">IFERROR(E287/D287-1,0)</f>
        <v>0</v>
      </c>
      <c r="Q287" s="262">
        <f t="shared" ref="Q287:Q321" si="61">IFERROR(F287/E287-1,0)</f>
        <v>0</v>
      </c>
      <c r="R287" s="262">
        <f t="shared" ref="R287:R321" si="62">IFERROR(G287/F287-1,0)</f>
        <v>0</v>
      </c>
    </row>
    <row r="288" spans="1:18">
      <c r="B288" s="122" t="s">
        <v>83</v>
      </c>
      <c r="C288" s="16"/>
      <c r="D288" s="16"/>
      <c r="E288" s="16"/>
      <c r="F288" s="16"/>
      <c r="G288" s="16"/>
      <c r="H288" s="110"/>
      <c r="I288" s="262">
        <f t="shared" si="33"/>
        <v>0</v>
      </c>
      <c r="J288" s="262">
        <f t="shared" si="52"/>
        <v>0</v>
      </c>
      <c r="K288" s="262">
        <f t="shared" si="53"/>
        <v>0</v>
      </c>
      <c r="L288" s="262">
        <f t="shared" si="54"/>
        <v>0</v>
      </c>
      <c r="M288" s="262">
        <f t="shared" si="55"/>
        <v>0</v>
      </c>
      <c r="O288" s="262">
        <f t="shared" si="59"/>
        <v>0</v>
      </c>
      <c r="P288" s="262">
        <f t="shared" si="60"/>
        <v>0</v>
      </c>
      <c r="Q288" s="262">
        <f t="shared" si="61"/>
        <v>0</v>
      </c>
      <c r="R288" s="262">
        <f t="shared" si="62"/>
        <v>0</v>
      </c>
    </row>
    <row r="289" spans="2:18">
      <c r="B289" s="122" t="s">
        <v>141</v>
      </c>
      <c r="C289" s="16"/>
      <c r="D289" s="16"/>
      <c r="E289" s="16"/>
      <c r="F289" s="16"/>
      <c r="G289" s="16"/>
      <c r="H289" s="110"/>
      <c r="I289" s="262">
        <f t="shared" si="33"/>
        <v>0</v>
      </c>
      <c r="J289" s="262">
        <f t="shared" si="52"/>
        <v>0</v>
      </c>
      <c r="K289" s="262">
        <f t="shared" si="53"/>
        <v>0</v>
      </c>
      <c r="L289" s="262">
        <f t="shared" si="54"/>
        <v>0</v>
      </c>
      <c r="M289" s="262">
        <f t="shared" si="55"/>
        <v>0</v>
      </c>
      <c r="O289" s="262">
        <f t="shared" si="59"/>
        <v>0</v>
      </c>
      <c r="P289" s="262">
        <f t="shared" si="60"/>
        <v>0</v>
      </c>
      <c r="Q289" s="262">
        <f t="shared" si="61"/>
        <v>0</v>
      </c>
      <c r="R289" s="262">
        <f t="shared" si="62"/>
        <v>0</v>
      </c>
    </row>
    <row r="290" spans="2:18">
      <c r="B290" s="122" t="s">
        <v>156</v>
      </c>
      <c r="C290" s="80"/>
      <c r="D290" s="80"/>
      <c r="E290" s="80"/>
      <c r="F290" s="80"/>
      <c r="G290" s="80"/>
      <c r="H290" s="110"/>
      <c r="I290" s="262">
        <f t="shared" si="33"/>
        <v>0</v>
      </c>
      <c r="J290" s="262">
        <f t="shared" si="52"/>
        <v>0</v>
      </c>
      <c r="K290" s="262">
        <f t="shared" si="53"/>
        <v>0</v>
      </c>
      <c r="L290" s="262">
        <f t="shared" si="54"/>
        <v>0</v>
      </c>
      <c r="M290" s="262">
        <f t="shared" si="55"/>
        <v>0</v>
      </c>
      <c r="O290" s="262">
        <f t="shared" si="59"/>
        <v>0</v>
      </c>
      <c r="P290" s="262">
        <f t="shared" si="60"/>
        <v>0</v>
      </c>
      <c r="Q290" s="262">
        <f t="shared" si="61"/>
        <v>0</v>
      </c>
      <c r="R290" s="262">
        <f t="shared" si="62"/>
        <v>0</v>
      </c>
    </row>
    <row r="291" spans="2:18">
      <c r="B291" s="122" t="s">
        <v>129</v>
      </c>
      <c r="C291" s="80"/>
      <c r="D291" s="80"/>
      <c r="E291" s="80"/>
      <c r="F291" s="80"/>
      <c r="G291" s="80"/>
      <c r="H291" s="110"/>
      <c r="I291" s="262">
        <f t="shared" si="33"/>
        <v>0</v>
      </c>
      <c r="J291" s="262">
        <f t="shared" si="52"/>
        <v>0</v>
      </c>
      <c r="K291" s="262">
        <f t="shared" si="53"/>
        <v>0</v>
      </c>
      <c r="L291" s="262">
        <f t="shared" si="54"/>
        <v>0</v>
      </c>
      <c r="M291" s="262">
        <f t="shared" si="55"/>
        <v>0</v>
      </c>
      <c r="O291" s="262">
        <f t="shared" si="59"/>
        <v>0</v>
      </c>
      <c r="P291" s="262">
        <f t="shared" si="60"/>
        <v>0</v>
      </c>
      <c r="Q291" s="262">
        <f t="shared" si="61"/>
        <v>0</v>
      </c>
      <c r="R291" s="262">
        <f t="shared" si="62"/>
        <v>0</v>
      </c>
    </row>
    <row r="292" spans="2:18">
      <c r="B292" s="122" t="s">
        <v>130</v>
      </c>
      <c r="C292" s="80"/>
      <c r="D292" s="80"/>
      <c r="E292" s="80"/>
      <c r="F292" s="80"/>
      <c r="G292" s="80"/>
      <c r="H292" s="110"/>
      <c r="I292" s="262">
        <f t="shared" si="33"/>
        <v>0</v>
      </c>
      <c r="J292" s="262">
        <f t="shared" si="52"/>
        <v>0</v>
      </c>
      <c r="K292" s="262">
        <f t="shared" si="53"/>
        <v>0</v>
      </c>
      <c r="L292" s="262">
        <f t="shared" si="54"/>
        <v>0</v>
      </c>
      <c r="M292" s="262">
        <f t="shared" si="55"/>
        <v>0</v>
      </c>
      <c r="O292" s="262">
        <f t="shared" si="59"/>
        <v>0</v>
      </c>
      <c r="P292" s="262">
        <f t="shared" si="60"/>
        <v>0</v>
      </c>
      <c r="Q292" s="262">
        <f t="shared" si="61"/>
        <v>0</v>
      </c>
      <c r="R292" s="262">
        <f t="shared" si="62"/>
        <v>0</v>
      </c>
    </row>
    <row r="293" spans="2:18">
      <c r="B293" s="122" t="s">
        <v>131</v>
      </c>
      <c r="C293" s="80"/>
      <c r="D293" s="80"/>
      <c r="E293" s="80"/>
      <c r="F293" s="80"/>
      <c r="G293" s="80"/>
      <c r="H293" s="110"/>
      <c r="I293" s="262">
        <f t="shared" si="33"/>
        <v>0</v>
      </c>
      <c r="J293" s="262">
        <f t="shared" si="52"/>
        <v>0</v>
      </c>
      <c r="K293" s="262">
        <f t="shared" si="53"/>
        <v>0</v>
      </c>
      <c r="L293" s="262">
        <f t="shared" si="54"/>
        <v>0</v>
      </c>
      <c r="M293" s="262">
        <f t="shared" si="55"/>
        <v>0</v>
      </c>
      <c r="O293" s="262">
        <f t="shared" si="59"/>
        <v>0</v>
      </c>
      <c r="P293" s="262">
        <f t="shared" si="60"/>
        <v>0</v>
      </c>
      <c r="Q293" s="262">
        <f t="shared" si="61"/>
        <v>0</v>
      </c>
      <c r="R293" s="262">
        <f t="shared" si="62"/>
        <v>0</v>
      </c>
    </row>
    <row r="294" spans="2:18">
      <c r="B294" s="122" t="s">
        <v>132</v>
      </c>
      <c r="C294" s="80"/>
      <c r="D294" s="80"/>
      <c r="E294" s="80"/>
      <c r="F294" s="80"/>
      <c r="G294" s="80"/>
      <c r="H294" s="110"/>
      <c r="I294" s="262">
        <f t="shared" si="33"/>
        <v>0</v>
      </c>
      <c r="J294" s="262">
        <f t="shared" si="52"/>
        <v>0</v>
      </c>
      <c r="K294" s="262">
        <f t="shared" si="53"/>
        <v>0</v>
      </c>
      <c r="L294" s="262">
        <f t="shared" si="54"/>
        <v>0</v>
      </c>
      <c r="M294" s="262">
        <f t="shared" si="55"/>
        <v>0</v>
      </c>
      <c r="O294" s="262">
        <f t="shared" si="59"/>
        <v>0</v>
      </c>
      <c r="P294" s="262">
        <f t="shared" si="60"/>
        <v>0</v>
      </c>
      <c r="Q294" s="262">
        <f t="shared" si="61"/>
        <v>0</v>
      </c>
      <c r="R294" s="262">
        <f t="shared" si="62"/>
        <v>0</v>
      </c>
    </row>
    <row r="295" spans="2:18">
      <c r="B295" s="122" t="s">
        <v>133</v>
      </c>
      <c r="C295" s="80"/>
      <c r="D295" s="80"/>
      <c r="E295" s="80"/>
      <c r="F295" s="80"/>
      <c r="G295" s="80"/>
      <c r="H295" s="110"/>
      <c r="I295" s="262">
        <f t="shared" si="33"/>
        <v>0</v>
      </c>
      <c r="J295" s="262">
        <f t="shared" si="52"/>
        <v>0</v>
      </c>
      <c r="K295" s="262">
        <f t="shared" si="53"/>
        <v>0</v>
      </c>
      <c r="L295" s="262">
        <f t="shared" si="54"/>
        <v>0</v>
      </c>
      <c r="M295" s="262">
        <f t="shared" si="55"/>
        <v>0</v>
      </c>
      <c r="O295" s="262">
        <f t="shared" si="59"/>
        <v>0</v>
      </c>
      <c r="P295" s="262">
        <f t="shared" si="60"/>
        <v>0</v>
      </c>
      <c r="Q295" s="262">
        <f t="shared" si="61"/>
        <v>0</v>
      </c>
      <c r="R295" s="262">
        <f t="shared" si="62"/>
        <v>0</v>
      </c>
    </row>
    <row r="296" spans="2:18">
      <c r="B296" s="122" t="s">
        <v>85</v>
      </c>
      <c r="H296" s="110"/>
      <c r="I296" s="262">
        <f t="shared" si="33"/>
        <v>0</v>
      </c>
      <c r="J296" s="262">
        <f t="shared" si="52"/>
        <v>0</v>
      </c>
      <c r="K296" s="262">
        <f t="shared" si="53"/>
        <v>0</v>
      </c>
      <c r="L296" s="262">
        <f t="shared" si="54"/>
        <v>0</v>
      </c>
      <c r="M296" s="262">
        <f t="shared" si="55"/>
        <v>0</v>
      </c>
      <c r="O296" s="262">
        <f t="shared" si="59"/>
        <v>0</v>
      </c>
      <c r="P296" s="262">
        <f t="shared" si="60"/>
        <v>0</v>
      </c>
      <c r="Q296" s="262">
        <f t="shared" si="61"/>
        <v>0</v>
      </c>
      <c r="R296" s="262">
        <f t="shared" si="62"/>
        <v>0</v>
      </c>
    </row>
    <row r="297" spans="2:18">
      <c r="B297" s="122" t="s">
        <v>134</v>
      </c>
      <c r="H297" s="110"/>
      <c r="I297" s="262">
        <f t="shared" si="33"/>
        <v>0</v>
      </c>
      <c r="J297" s="262">
        <f t="shared" si="52"/>
        <v>0</v>
      </c>
      <c r="K297" s="262">
        <f t="shared" si="53"/>
        <v>0</v>
      </c>
      <c r="L297" s="262">
        <f t="shared" si="54"/>
        <v>0</v>
      </c>
      <c r="M297" s="262">
        <f t="shared" si="55"/>
        <v>0</v>
      </c>
      <c r="O297" s="262">
        <f t="shared" si="59"/>
        <v>0</v>
      </c>
      <c r="P297" s="262">
        <f t="shared" si="60"/>
        <v>0</v>
      </c>
      <c r="Q297" s="262">
        <f t="shared" si="61"/>
        <v>0</v>
      </c>
      <c r="R297" s="262">
        <f t="shared" si="62"/>
        <v>0</v>
      </c>
    </row>
    <row r="298" spans="2:18">
      <c r="B298" s="122" t="s">
        <v>135</v>
      </c>
      <c r="H298" s="110"/>
      <c r="I298" s="262">
        <f t="shared" si="33"/>
        <v>0</v>
      </c>
      <c r="J298" s="262">
        <f t="shared" si="52"/>
        <v>0</v>
      </c>
      <c r="K298" s="262">
        <f t="shared" si="53"/>
        <v>0</v>
      </c>
      <c r="L298" s="262">
        <f t="shared" si="54"/>
        <v>0</v>
      </c>
      <c r="M298" s="262">
        <f t="shared" si="55"/>
        <v>0</v>
      </c>
      <c r="O298" s="262">
        <f t="shared" si="59"/>
        <v>0</v>
      </c>
      <c r="P298" s="262">
        <f t="shared" si="60"/>
        <v>0</v>
      </c>
      <c r="Q298" s="262">
        <f t="shared" si="61"/>
        <v>0</v>
      </c>
      <c r="R298" s="262">
        <f t="shared" si="62"/>
        <v>0</v>
      </c>
    </row>
    <row r="299" spans="2:18">
      <c r="B299" s="122" t="s">
        <v>86</v>
      </c>
      <c r="H299" s="110"/>
      <c r="I299" s="262">
        <f t="shared" si="33"/>
        <v>0</v>
      </c>
      <c r="J299" s="262">
        <f t="shared" si="52"/>
        <v>0</v>
      </c>
      <c r="K299" s="262">
        <f t="shared" si="53"/>
        <v>0</v>
      </c>
      <c r="L299" s="262">
        <f t="shared" si="54"/>
        <v>0</v>
      </c>
      <c r="M299" s="262">
        <f t="shared" si="55"/>
        <v>0</v>
      </c>
      <c r="O299" s="262">
        <f t="shared" si="59"/>
        <v>0</v>
      </c>
      <c r="P299" s="262">
        <f t="shared" si="60"/>
        <v>0</v>
      </c>
      <c r="Q299" s="262">
        <f t="shared" si="61"/>
        <v>0</v>
      </c>
      <c r="R299" s="262">
        <f t="shared" si="62"/>
        <v>0</v>
      </c>
    </row>
    <row r="300" spans="2:18">
      <c r="B300" s="122" t="s">
        <v>87</v>
      </c>
      <c r="H300" s="110"/>
      <c r="I300" s="262">
        <f t="shared" si="33"/>
        <v>0</v>
      </c>
      <c r="J300" s="262">
        <f t="shared" si="52"/>
        <v>0</v>
      </c>
      <c r="K300" s="262">
        <f t="shared" si="53"/>
        <v>0</v>
      </c>
      <c r="L300" s="262">
        <f t="shared" si="54"/>
        <v>0</v>
      </c>
      <c r="M300" s="262">
        <f t="shared" si="55"/>
        <v>0</v>
      </c>
      <c r="O300" s="262">
        <f t="shared" si="59"/>
        <v>0</v>
      </c>
      <c r="P300" s="262">
        <f t="shared" si="60"/>
        <v>0</v>
      </c>
      <c r="Q300" s="262">
        <f t="shared" si="61"/>
        <v>0</v>
      </c>
      <c r="R300" s="262">
        <f t="shared" si="62"/>
        <v>0</v>
      </c>
    </row>
    <row r="301" spans="2:18">
      <c r="B301" s="122" t="s">
        <v>88</v>
      </c>
      <c r="H301" s="110"/>
      <c r="I301" s="262">
        <f t="shared" si="33"/>
        <v>0</v>
      </c>
      <c r="J301" s="262">
        <f t="shared" si="52"/>
        <v>0</v>
      </c>
      <c r="K301" s="262">
        <f t="shared" si="53"/>
        <v>0</v>
      </c>
      <c r="L301" s="262">
        <f t="shared" si="54"/>
        <v>0</v>
      </c>
      <c r="M301" s="262">
        <f t="shared" si="55"/>
        <v>0</v>
      </c>
      <c r="O301" s="262">
        <f t="shared" si="59"/>
        <v>0</v>
      </c>
      <c r="P301" s="262">
        <f t="shared" si="60"/>
        <v>0</v>
      </c>
      <c r="Q301" s="262">
        <f t="shared" si="61"/>
        <v>0</v>
      </c>
      <c r="R301" s="262">
        <f t="shared" si="62"/>
        <v>0</v>
      </c>
    </row>
    <row r="302" spans="2:18">
      <c r="B302" s="122" t="s">
        <v>136</v>
      </c>
      <c r="H302" s="110"/>
      <c r="I302" s="262">
        <f t="shared" si="33"/>
        <v>0</v>
      </c>
      <c r="J302" s="262">
        <f t="shared" si="52"/>
        <v>0</v>
      </c>
      <c r="K302" s="262">
        <f t="shared" si="53"/>
        <v>0</v>
      </c>
      <c r="L302" s="262">
        <f t="shared" si="54"/>
        <v>0</v>
      </c>
      <c r="M302" s="262">
        <f t="shared" si="55"/>
        <v>0</v>
      </c>
      <c r="O302" s="262">
        <f t="shared" si="59"/>
        <v>0</v>
      </c>
      <c r="P302" s="262">
        <f t="shared" si="60"/>
        <v>0</v>
      </c>
      <c r="Q302" s="262">
        <f t="shared" si="61"/>
        <v>0</v>
      </c>
      <c r="R302" s="262">
        <f t="shared" si="62"/>
        <v>0</v>
      </c>
    </row>
    <row r="303" spans="2:18">
      <c r="B303" s="122" t="s">
        <v>137</v>
      </c>
      <c r="H303" s="110"/>
      <c r="I303" s="262">
        <f t="shared" si="33"/>
        <v>0</v>
      </c>
      <c r="J303" s="262">
        <f t="shared" si="52"/>
        <v>0</v>
      </c>
      <c r="K303" s="262">
        <f t="shared" si="53"/>
        <v>0</v>
      </c>
      <c r="L303" s="262">
        <f t="shared" si="54"/>
        <v>0</v>
      </c>
      <c r="M303" s="262">
        <f t="shared" si="55"/>
        <v>0</v>
      </c>
      <c r="O303" s="262">
        <f t="shared" si="59"/>
        <v>0</v>
      </c>
      <c r="P303" s="262">
        <f t="shared" si="60"/>
        <v>0</v>
      </c>
      <c r="Q303" s="262">
        <f t="shared" si="61"/>
        <v>0</v>
      </c>
      <c r="R303" s="262">
        <f t="shared" si="62"/>
        <v>0</v>
      </c>
    </row>
    <row r="304" spans="2:18">
      <c r="B304" s="122" t="s">
        <v>138</v>
      </c>
      <c r="H304" s="110"/>
      <c r="I304" s="262">
        <f t="shared" si="33"/>
        <v>0</v>
      </c>
      <c r="J304" s="262">
        <f t="shared" si="52"/>
        <v>0</v>
      </c>
      <c r="K304" s="262">
        <f t="shared" si="53"/>
        <v>0</v>
      </c>
      <c r="L304" s="262">
        <f t="shared" si="54"/>
        <v>0</v>
      </c>
      <c r="M304" s="262">
        <f t="shared" si="55"/>
        <v>0</v>
      </c>
      <c r="O304" s="262">
        <f t="shared" si="59"/>
        <v>0</v>
      </c>
      <c r="P304" s="262">
        <f t="shared" si="60"/>
        <v>0</v>
      </c>
      <c r="Q304" s="262">
        <f t="shared" si="61"/>
        <v>0</v>
      </c>
      <c r="R304" s="262">
        <f t="shared" si="62"/>
        <v>0</v>
      </c>
    </row>
    <row r="305" spans="2:18">
      <c r="B305" s="141" t="s">
        <v>139</v>
      </c>
      <c r="H305" s="110"/>
      <c r="I305" s="262">
        <f t="shared" si="33"/>
        <v>0</v>
      </c>
      <c r="J305" s="262">
        <f t="shared" si="52"/>
        <v>0</v>
      </c>
      <c r="K305" s="262">
        <f t="shared" si="53"/>
        <v>0</v>
      </c>
      <c r="L305" s="262">
        <f t="shared" si="54"/>
        <v>0</v>
      </c>
      <c r="M305" s="262">
        <f t="shared" si="55"/>
        <v>0</v>
      </c>
      <c r="O305" s="262">
        <f t="shared" si="59"/>
        <v>0</v>
      </c>
      <c r="P305" s="262">
        <f t="shared" si="60"/>
        <v>0</v>
      </c>
      <c r="Q305" s="262">
        <f t="shared" si="61"/>
        <v>0</v>
      </c>
      <c r="R305" s="262">
        <f t="shared" si="62"/>
        <v>0</v>
      </c>
    </row>
    <row r="306" spans="2:18">
      <c r="B306" s="141" t="s">
        <v>140</v>
      </c>
      <c r="H306" s="110"/>
      <c r="I306" s="262">
        <f t="shared" si="33"/>
        <v>0</v>
      </c>
      <c r="J306" s="262">
        <f t="shared" si="52"/>
        <v>0</v>
      </c>
      <c r="K306" s="262">
        <f t="shared" si="53"/>
        <v>0</v>
      </c>
      <c r="L306" s="262">
        <f t="shared" si="54"/>
        <v>0</v>
      </c>
      <c r="M306" s="262">
        <f t="shared" si="55"/>
        <v>0</v>
      </c>
      <c r="O306" s="262">
        <f t="shared" si="59"/>
        <v>0</v>
      </c>
      <c r="P306" s="262">
        <f t="shared" si="60"/>
        <v>0</v>
      </c>
      <c r="Q306" s="262">
        <f t="shared" si="61"/>
        <v>0</v>
      </c>
      <c r="R306" s="262">
        <f t="shared" si="62"/>
        <v>0</v>
      </c>
    </row>
    <row r="307" spans="2:18">
      <c r="B307" s="122" t="s">
        <v>142</v>
      </c>
      <c r="H307" s="110"/>
      <c r="I307" s="262">
        <f t="shared" si="33"/>
        <v>0</v>
      </c>
      <c r="J307" s="262">
        <f t="shared" si="52"/>
        <v>0</v>
      </c>
      <c r="K307" s="262">
        <f t="shared" si="53"/>
        <v>0</v>
      </c>
      <c r="L307" s="262">
        <f t="shared" si="54"/>
        <v>0</v>
      </c>
      <c r="M307" s="262">
        <f t="shared" si="55"/>
        <v>0</v>
      </c>
      <c r="O307" s="262">
        <f t="shared" si="59"/>
        <v>0</v>
      </c>
      <c r="P307" s="262">
        <f t="shared" si="60"/>
        <v>0</v>
      </c>
      <c r="Q307" s="262">
        <f t="shared" si="61"/>
        <v>0</v>
      </c>
      <c r="R307" s="262">
        <f t="shared" si="62"/>
        <v>0</v>
      </c>
    </row>
    <row r="308" spans="2:18">
      <c r="B308" s="122" t="s">
        <v>143</v>
      </c>
      <c r="H308" s="110"/>
      <c r="I308" s="262">
        <f t="shared" si="33"/>
        <v>0</v>
      </c>
      <c r="J308" s="262">
        <f t="shared" si="52"/>
        <v>0</v>
      </c>
      <c r="K308" s="262">
        <f t="shared" si="53"/>
        <v>0</v>
      </c>
      <c r="L308" s="262">
        <f t="shared" si="54"/>
        <v>0</v>
      </c>
      <c r="M308" s="262">
        <f t="shared" si="55"/>
        <v>0</v>
      </c>
      <c r="O308" s="262">
        <f t="shared" si="59"/>
        <v>0</v>
      </c>
      <c r="P308" s="262">
        <f t="shared" si="60"/>
        <v>0</v>
      </c>
      <c r="Q308" s="262">
        <f t="shared" si="61"/>
        <v>0</v>
      </c>
      <c r="R308" s="262">
        <f t="shared" si="62"/>
        <v>0</v>
      </c>
    </row>
    <row r="309" spans="2:18">
      <c r="B309" s="122" t="s">
        <v>144</v>
      </c>
      <c r="H309" s="110"/>
      <c r="I309" s="262">
        <f t="shared" si="33"/>
        <v>0</v>
      </c>
      <c r="J309" s="262">
        <f t="shared" si="52"/>
        <v>0</v>
      </c>
      <c r="K309" s="262">
        <f t="shared" si="53"/>
        <v>0</v>
      </c>
      <c r="L309" s="262">
        <f t="shared" si="54"/>
        <v>0</v>
      </c>
      <c r="M309" s="262">
        <f t="shared" si="55"/>
        <v>0</v>
      </c>
      <c r="O309" s="262">
        <f t="shared" si="59"/>
        <v>0</v>
      </c>
      <c r="P309" s="262">
        <f t="shared" si="60"/>
        <v>0</v>
      </c>
      <c r="Q309" s="262">
        <f t="shared" si="61"/>
        <v>0</v>
      </c>
      <c r="R309" s="262">
        <f t="shared" si="62"/>
        <v>0</v>
      </c>
    </row>
    <row r="310" spans="2:18">
      <c r="B310" s="122" t="s">
        <v>145</v>
      </c>
      <c r="H310" s="110"/>
      <c r="I310" s="262">
        <f t="shared" si="33"/>
        <v>0</v>
      </c>
      <c r="J310" s="262">
        <f t="shared" si="52"/>
        <v>0</v>
      </c>
      <c r="K310" s="262">
        <f t="shared" si="53"/>
        <v>0</v>
      </c>
      <c r="L310" s="262">
        <f t="shared" si="54"/>
        <v>0</v>
      </c>
      <c r="M310" s="262">
        <f t="shared" si="55"/>
        <v>0</v>
      </c>
      <c r="O310" s="262">
        <f t="shared" si="59"/>
        <v>0</v>
      </c>
      <c r="P310" s="262">
        <f t="shared" si="60"/>
        <v>0</v>
      </c>
      <c r="Q310" s="262">
        <f t="shared" si="61"/>
        <v>0</v>
      </c>
      <c r="R310" s="262">
        <f t="shared" si="62"/>
        <v>0</v>
      </c>
    </row>
    <row r="311" spans="2:18">
      <c r="B311" s="122" t="s">
        <v>146</v>
      </c>
      <c r="H311" s="110"/>
      <c r="I311" s="262">
        <f t="shared" si="33"/>
        <v>0</v>
      </c>
      <c r="J311" s="262">
        <f t="shared" si="52"/>
        <v>0</v>
      </c>
      <c r="K311" s="262">
        <f t="shared" si="53"/>
        <v>0</v>
      </c>
      <c r="L311" s="262">
        <f t="shared" si="54"/>
        <v>0</v>
      </c>
      <c r="M311" s="262">
        <f t="shared" si="55"/>
        <v>0</v>
      </c>
      <c r="O311" s="262">
        <f t="shared" si="59"/>
        <v>0</v>
      </c>
      <c r="P311" s="262">
        <f t="shared" si="60"/>
        <v>0</v>
      </c>
      <c r="Q311" s="262">
        <f t="shared" si="61"/>
        <v>0</v>
      </c>
      <c r="R311" s="262">
        <f t="shared" si="62"/>
        <v>0</v>
      </c>
    </row>
    <row r="312" spans="2:18">
      <c r="B312" s="249" t="s">
        <v>290</v>
      </c>
      <c r="C312" s="80"/>
      <c r="D312" s="80"/>
      <c r="E312" s="80"/>
      <c r="F312" s="80"/>
      <c r="G312" s="80"/>
      <c r="H312" s="110"/>
      <c r="I312" s="262">
        <f t="shared" ref="I312:I320" si="63">IFERROR(C312/C$186,0)</f>
        <v>0</v>
      </c>
      <c r="J312" s="262">
        <f t="shared" ref="J312:J320" si="64">IFERROR(D312/D$186,0)</f>
        <v>0</v>
      </c>
      <c r="K312" s="262">
        <f t="shared" ref="K312:K320" si="65">IFERROR(E312/E$186,0)</f>
        <v>0</v>
      </c>
      <c r="L312" s="262">
        <f t="shared" ref="L312:L320" si="66">IFERROR(F312/F$186,0)</f>
        <v>0</v>
      </c>
      <c r="M312" s="262">
        <f t="shared" ref="M312:M320" si="67">IFERROR(G312/G$186,0)</f>
        <v>0</v>
      </c>
      <c r="O312" s="262">
        <f t="shared" ref="O312:O320" si="68">IFERROR(D312/C312-1,0)</f>
        <v>0</v>
      </c>
      <c r="P312" s="262">
        <f t="shared" ref="P312:P320" si="69">IFERROR(E312/D312-1,0)</f>
        <v>0</v>
      </c>
      <c r="Q312" s="262">
        <f t="shared" ref="Q312:Q320" si="70">IFERROR(F312/E312-1,0)</f>
        <v>0</v>
      </c>
      <c r="R312" s="262">
        <f t="shared" ref="R312:R320" si="71">IFERROR(G312/F312-1,0)</f>
        <v>0</v>
      </c>
    </row>
    <row r="313" spans="2:18" hidden="1">
      <c r="B313" s="249"/>
      <c r="C313" s="80"/>
      <c r="D313" s="80"/>
      <c r="E313" s="80"/>
      <c r="F313" s="80"/>
      <c r="G313" s="80"/>
      <c r="H313" s="110"/>
      <c r="I313" s="262">
        <f t="shared" si="63"/>
        <v>0</v>
      </c>
      <c r="J313" s="262">
        <f t="shared" si="64"/>
        <v>0</v>
      </c>
      <c r="K313" s="262">
        <f t="shared" si="65"/>
        <v>0</v>
      </c>
      <c r="L313" s="262">
        <f t="shared" si="66"/>
        <v>0</v>
      </c>
      <c r="M313" s="262">
        <f t="shared" si="67"/>
        <v>0</v>
      </c>
      <c r="O313" s="262">
        <f t="shared" si="68"/>
        <v>0</v>
      </c>
      <c r="P313" s="262">
        <f t="shared" si="69"/>
        <v>0</v>
      </c>
      <c r="Q313" s="262">
        <f t="shared" si="70"/>
        <v>0</v>
      </c>
      <c r="R313" s="262">
        <f t="shared" si="71"/>
        <v>0</v>
      </c>
    </row>
    <row r="314" spans="2:18" hidden="1">
      <c r="B314" s="249"/>
      <c r="C314" s="80"/>
      <c r="D314" s="80"/>
      <c r="E314" s="80"/>
      <c r="F314" s="80"/>
      <c r="G314" s="80"/>
      <c r="H314" s="110"/>
      <c r="I314" s="262">
        <f t="shared" si="63"/>
        <v>0</v>
      </c>
      <c r="J314" s="262">
        <f t="shared" si="64"/>
        <v>0</v>
      </c>
      <c r="K314" s="262">
        <f t="shared" si="65"/>
        <v>0</v>
      </c>
      <c r="L314" s="262">
        <f t="shared" si="66"/>
        <v>0</v>
      </c>
      <c r="M314" s="262">
        <f t="shared" si="67"/>
        <v>0</v>
      </c>
      <c r="O314" s="262">
        <f t="shared" si="68"/>
        <v>0</v>
      </c>
      <c r="P314" s="262">
        <f t="shared" si="69"/>
        <v>0</v>
      </c>
      <c r="Q314" s="262">
        <f t="shared" si="70"/>
        <v>0</v>
      </c>
      <c r="R314" s="262">
        <f t="shared" si="71"/>
        <v>0</v>
      </c>
    </row>
    <row r="315" spans="2:18" hidden="1">
      <c r="B315" s="249"/>
      <c r="C315" s="80"/>
      <c r="D315" s="80"/>
      <c r="E315" s="80"/>
      <c r="F315" s="80"/>
      <c r="G315" s="80"/>
      <c r="H315" s="110"/>
      <c r="I315" s="262">
        <f t="shared" si="63"/>
        <v>0</v>
      </c>
      <c r="J315" s="262">
        <f t="shared" si="64"/>
        <v>0</v>
      </c>
      <c r="K315" s="262">
        <f t="shared" si="65"/>
        <v>0</v>
      </c>
      <c r="L315" s="262">
        <f t="shared" si="66"/>
        <v>0</v>
      </c>
      <c r="M315" s="262">
        <f t="shared" si="67"/>
        <v>0</v>
      </c>
      <c r="O315" s="262">
        <f t="shared" si="68"/>
        <v>0</v>
      </c>
      <c r="P315" s="262">
        <f t="shared" si="69"/>
        <v>0</v>
      </c>
      <c r="Q315" s="262">
        <f t="shared" si="70"/>
        <v>0</v>
      </c>
      <c r="R315" s="262">
        <f t="shared" si="71"/>
        <v>0</v>
      </c>
    </row>
    <row r="316" spans="2:18" hidden="1">
      <c r="B316" s="249"/>
      <c r="C316" s="80"/>
      <c r="D316" s="80"/>
      <c r="E316" s="80"/>
      <c r="F316" s="80"/>
      <c r="G316" s="80"/>
      <c r="H316" s="110"/>
      <c r="I316" s="262">
        <f t="shared" si="63"/>
        <v>0</v>
      </c>
      <c r="J316" s="262">
        <f t="shared" si="64"/>
        <v>0</v>
      </c>
      <c r="K316" s="262">
        <f t="shared" si="65"/>
        <v>0</v>
      </c>
      <c r="L316" s="262">
        <f t="shared" si="66"/>
        <v>0</v>
      </c>
      <c r="M316" s="262">
        <f t="shared" si="67"/>
        <v>0</v>
      </c>
      <c r="O316" s="262">
        <f t="shared" si="68"/>
        <v>0</v>
      </c>
      <c r="P316" s="262">
        <f t="shared" si="69"/>
        <v>0</v>
      </c>
      <c r="Q316" s="262">
        <f t="shared" si="70"/>
        <v>0</v>
      </c>
      <c r="R316" s="262">
        <f t="shared" si="71"/>
        <v>0</v>
      </c>
    </row>
    <row r="317" spans="2:18" hidden="1">
      <c r="B317" s="249"/>
      <c r="C317" s="80"/>
      <c r="D317" s="80"/>
      <c r="E317" s="80"/>
      <c r="F317" s="80"/>
      <c r="G317" s="80"/>
      <c r="H317" s="110"/>
      <c r="I317" s="262">
        <f t="shared" si="63"/>
        <v>0</v>
      </c>
      <c r="J317" s="262">
        <f t="shared" si="64"/>
        <v>0</v>
      </c>
      <c r="K317" s="262">
        <f t="shared" si="65"/>
        <v>0</v>
      </c>
      <c r="L317" s="262">
        <f t="shared" si="66"/>
        <v>0</v>
      </c>
      <c r="M317" s="262">
        <f t="shared" si="67"/>
        <v>0</v>
      </c>
      <c r="O317" s="262">
        <f t="shared" si="68"/>
        <v>0</v>
      </c>
      <c r="P317" s="262">
        <f t="shared" si="69"/>
        <v>0</v>
      </c>
      <c r="Q317" s="262">
        <f t="shared" si="70"/>
        <v>0</v>
      </c>
      <c r="R317" s="262">
        <f t="shared" si="71"/>
        <v>0</v>
      </c>
    </row>
    <row r="318" spans="2:18" hidden="1">
      <c r="B318" s="249"/>
      <c r="C318" s="80"/>
      <c r="D318" s="80"/>
      <c r="E318" s="80"/>
      <c r="F318" s="80"/>
      <c r="G318" s="80"/>
      <c r="H318" s="110"/>
      <c r="I318" s="262">
        <f t="shared" si="63"/>
        <v>0</v>
      </c>
      <c r="J318" s="262">
        <f t="shared" si="64"/>
        <v>0</v>
      </c>
      <c r="K318" s="262">
        <f t="shared" si="65"/>
        <v>0</v>
      </c>
      <c r="L318" s="262">
        <f t="shared" si="66"/>
        <v>0</v>
      </c>
      <c r="M318" s="262">
        <f t="shared" si="67"/>
        <v>0</v>
      </c>
      <c r="O318" s="262">
        <f t="shared" si="68"/>
        <v>0</v>
      </c>
      <c r="P318" s="262">
        <f t="shared" si="69"/>
        <v>0</v>
      </c>
      <c r="Q318" s="262">
        <f t="shared" si="70"/>
        <v>0</v>
      </c>
      <c r="R318" s="262">
        <f t="shared" si="71"/>
        <v>0</v>
      </c>
    </row>
    <row r="319" spans="2:18" hidden="1">
      <c r="B319" s="249"/>
      <c r="C319" s="80"/>
      <c r="D319" s="80"/>
      <c r="E319" s="80"/>
      <c r="F319" s="80"/>
      <c r="G319" s="80"/>
      <c r="H319" s="110"/>
      <c r="I319" s="262">
        <f t="shared" si="63"/>
        <v>0</v>
      </c>
      <c r="J319" s="262">
        <f t="shared" si="64"/>
        <v>0</v>
      </c>
      <c r="K319" s="262">
        <f t="shared" si="65"/>
        <v>0</v>
      </c>
      <c r="L319" s="262">
        <f t="shared" si="66"/>
        <v>0</v>
      </c>
      <c r="M319" s="262">
        <f t="shared" si="67"/>
        <v>0</v>
      </c>
      <c r="O319" s="262">
        <f t="shared" si="68"/>
        <v>0</v>
      </c>
      <c r="P319" s="262">
        <f t="shared" si="69"/>
        <v>0</v>
      </c>
      <c r="Q319" s="262">
        <f t="shared" si="70"/>
        <v>0</v>
      </c>
      <c r="R319" s="262">
        <f t="shared" si="71"/>
        <v>0</v>
      </c>
    </row>
    <row r="320" spans="2:18" hidden="1">
      <c r="B320" s="249"/>
      <c r="C320" s="80"/>
      <c r="D320" s="80"/>
      <c r="E320" s="80"/>
      <c r="F320" s="80"/>
      <c r="G320" s="80"/>
      <c r="H320" s="110"/>
      <c r="I320" s="262">
        <f t="shared" si="63"/>
        <v>0</v>
      </c>
      <c r="J320" s="262">
        <f t="shared" si="64"/>
        <v>0</v>
      </c>
      <c r="K320" s="262">
        <f t="shared" si="65"/>
        <v>0</v>
      </c>
      <c r="L320" s="262">
        <f t="shared" si="66"/>
        <v>0</v>
      </c>
      <c r="M320" s="262">
        <f t="shared" si="67"/>
        <v>0</v>
      </c>
      <c r="O320" s="262">
        <f t="shared" si="68"/>
        <v>0</v>
      </c>
      <c r="P320" s="262">
        <f t="shared" si="69"/>
        <v>0</v>
      </c>
      <c r="Q320" s="262">
        <f t="shared" si="70"/>
        <v>0</v>
      </c>
      <c r="R320" s="262">
        <f t="shared" si="71"/>
        <v>0</v>
      </c>
    </row>
    <row r="321" spans="1:18">
      <c r="B321" s="122" t="s">
        <v>147</v>
      </c>
      <c r="H321" s="110"/>
      <c r="I321" s="262">
        <f t="shared" si="33"/>
        <v>0</v>
      </c>
      <c r="J321" s="262">
        <f t="shared" si="52"/>
        <v>0</v>
      </c>
      <c r="K321" s="262">
        <f t="shared" si="53"/>
        <v>0</v>
      </c>
      <c r="L321" s="262">
        <f t="shared" si="54"/>
        <v>0</v>
      </c>
      <c r="M321" s="262">
        <f t="shared" si="55"/>
        <v>0</v>
      </c>
      <c r="O321" s="262">
        <f t="shared" si="59"/>
        <v>0</v>
      </c>
      <c r="P321" s="262">
        <f t="shared" si="60"/>
        <v>0</v>
      </c>
      <c r="Q321" s="262">
        <f t="shared" si="61"/>
        <v>0</v>
      </c>
      <c r="R321" s="262">
        <f t="shared" si="62"/>
        <v>0</v>
      </c>
    </row>
    <row r="322" spans="1:18">
      <c r="B322" s="122"/>
      <c r="H322" s="110"/>
    </row>
    <row r="323" spans="1:18" s="252" customFormat="1">
      <c r="A323" s="253"/>
      <c r="B323" s="260" t="s">
        <v>148</v>
      </c>
      <c r="C323" s="259">
        <f>SUM(C324:C341)</f>
        <v>0</v>
      </c>
      <c r="D323" s="259">
        <f t="shared" ref="D323:E323" si="72">SUM(D324:D341)</f>
        <v>0</v>
      </c>
      <c r="E323" s="259">
        <f t="shared" si="72"/>
        <v>0</v>
      </c>
      <c r="F323" s="259">
        <f>SUM(F324:F341)</f>
        <v>0</v>
      </c>
      <c r="G323" s="259">
        <f>SUM(G324:G341)</f>
        <v>0</v>
      </c>
      <c r="H323" s="261"/>
      <c r="I323" s="267">
        <f t="shared" si="33"/>
        <v>0</v>
      </c>
      <c r="J323" s="267">
        <f t="shared" ref="J323" si="73">IFERROR(D323/D$186,0)</f>
        <v>0</v>
      </c>
      <c r="K323" s="267">
        <f t="shared" ref="K323" si="74">IFERROR(E323/E$186,0)</f>
        <v>0</v>
      </c>
      <c r="L323" s="267">
        <f t="shared" ref="L323" si="75">IFERROR(F323/F$186,0)</f>
        <v>0</v>
      </c>
      <c r="M323" s="267">
        <f t="shared" ref="M323" si="76">IFERROR(G323/G$186,0)</f>
        <v>0</v>
      </c>
      <c r="N323" s="267"/>
      <c r="O323" s="267">
        <f t="shared" si="59"/>
        <v>0</v>
      </c>
      <c r="P323" s="267">
        <f t="shared" ref="P323" si="77">IFERROR(E323/D323-1,0)</f>
        <v>0</v>
      </c>
      <c r="Q323" s="267">
        <f t="shared" ref="Q323" si="78">IFERROR(F323/E323-1,0)</f>
        <v>0</v>
      </c>
      <c r="R323" s="267">
        <f t="shared" ref="R323" si="79">IFERROR(G323/F323-1,0)</f>
        <v>0</v>
      </c>
    </row>
    <row r="324" spans="1:18">
      <c r="B324" s="122" t="s">
        <v>149</v>
      </c>
      <c r="H324" s="110"/>
      <c r="I324" s="262">
        <f t="shared" ref="I324:I342" si="80">IFERROR(C324/C$186,0)</f>
        <v>0</v>
      </c>
      <c r="J324" s="262">
        <f t="shared" ref="J324:J342" si="81">IFERROR(D324/D$186,0)</f>
        <v>0</v>
      </c>
      <c r="K324" s="262">
        <f t="shared" ref="K324:K342" si="82">IFERROR(E324/E$186,0)</f>
        <v>0</v>
      </c>
      <c r="L324" s="262">
        <f t="shared" ref="L324:L342" si="83">IFERROR(F324/F$186,0)</f>
        <v>0</v>
      </c>
      <c r="M324" s="262">
        <f t="shared" ref="M324:M342" si="84">IFERROR(G324/G$186,0)</f>
        <v>0</v>
      </c>
      <c r="O324" s="262">
        <f t="shared" ref="O324:O342" si="85">IFERROR(D324/C324-1,0)</f>
        <v>0</v>
      </c>
      <c r="P324" s="262">
        <f t="shared" ref="P324:P342" si="86">IFERROR(E324/D324-1,0)</f>
        <v>0</v>
      </c>
      <c r="Q324" s="262">
        <f t="shared" ref="Q324:Q342" si="87">IFERROR(F324/E324-1,0)</f>
        <v>0</v>
      </c>
      <c r="R324" s="262">
        <f t="shared" ref="R324:R342" si="88">IFERROR(G324/F324-1,0)</f>
        <v>0</v>
      </c>
    </row>
    <row r="325" spans="1:18">
      <c r="B325" s="138" t="s">
        <v>128</v>
      </c>
      <c r="C325" s="89"/>
      <c r="D325" s="89"/>
      <c r="E325" s="89"/>
      <c r="F325" s="89"/>
      <c r="G325" s="89"/>
      <c r="I325" s="262">
        <f t="shared" si="80"/>
        <v>0</v>
      </c>
      <c r="J325" s="262">
        <f t="shared" si="81"/>
        <v>0</v>
      </c>
      <c r="K325" s="262">
        <f t="shared" si="82"/>
        <v>0</v>
      </c>
      <c r="L325" s="262">
        <f t="shared" si="83"/>
        <v>0</v>
      </c>
      <c r="M325" s="262">
        <f t="shared" si="84"/>
        <v>0</v>
      </c>
      <c r="O325" s="262">
        <f t="shared" si="85"/>
        <v>0</v>
      </c>
      <c r="P325" s="262">
        <f t="shared" si="86"/>
        <v>0</v>
      </c>
      <c r="Q325" s="262">
        <f t="shared" si="87"/>
        <v>0</v>
      </c>
      <c r="R325" s="262">
        <f t="shared" si="88"/>
        <v>0</v>
      </c>
    </row>
    <row r="326" spans="1:18">
      <c r="B326" s="122" t="s">
        <v>150</v>
      </c>
      <c r="H326" s="110"/>
      <c r="I326" s="262">
        <f t="shared" si="80"/>
        <v>0</v>
      </c>
      <c r="J326" s="262">
        <f t="shared" si="81"/>
        <v>0</v>
      </c>
      <c r="K326" s="262">
        <f t="shared" si="82"/>
        <v>0</v>
      </c>
      <c r="L326" s="262">
        <f t="shared" si="83"/>
        <v>0</v>
      </c>
      <c r="M326" s="262">
        <f t="shared" si="84"/>
        <v>0</v>
      </c>
      <c r="O326" s="262">
        <f t="shared" si="85"/>
        <v>0</v>
      </c>
      <c r="P326" s="262">
        <f t="shared" si="86"/>
        <v>0</v>
      </c>
      <c r="Q326" s="262">
        <f t="shared" si="87"/>
        <v>0</v>
      </c>
      <c r="R326" s="262">
        <f t="shared" si="88"/>
        <v>0</v>
      </c>
    </row>
    <row r="327" spans="1:18">
      <c r="B327" s="122" t="s">
        <v>107</v>
      </c>
      <c r="H327" s="110"/>
      <c r="I327" s="262">
        <f t="shared" si="80"/>
        <v>0</v>
      </c>
      <c r="J327" s="262">
        <f t="shared" si="81"/>
        <v>0</v>
      </c>
      <c r="K327" s="262">
        <f t="shared" si="82"/>
        <v>0</v>
      </c>
      <c r="L327" s="262">
        <f t="shared" si="83"/>
        <v>0</v>
      </c>
      <c r="M327" s="262">
        <f t="shared" si="84"/>
        <v>0</v>
      </c>
      <c r="O327" s="262">
        <f t="shared" si="85"/>
        <v>0</v>
      </c>
      <c r="P327" s="262">
        <f t="shared" si="86"/>
        <v>0</v>
      </c>
      <c r="Q327" s="262">
        <f t="shared" si="87"/>
        <v>0</v>
      </c>
      <c r="R327" s="262">
        <f t="shared" si="88"/>
        <v>0</v>
      </c>
    </row>
    <row r="328" spans="1:18">
      <c r="B328" s="122" t="s">
        <v>151</v>
      </c>
      <c r="H328" s="110"/>
      <c r="I328" s="262">
        <f t="shared" si="80"/>
        <v>0</v>
      </c>
      <c r="J328" s="262">
        <f t="shared" si="81"/>
        <v>0</v>
      </c>
      <c r="K328" s="262">
        <f t="shared" si="82"/>
        <v>0</v>
      </c>
      <c r="L328" s="262">
        <f t="shared" si="83"/>
        <v>0</v>
      </c>
      <c r="M328" s="262">
        <f t="shared" si="84"/>
        <v>0</v>
      </c>
      <c r="O328" s="262">
        <f t="shared" si="85"/>
        <v>0</v>
      </c>
      <c r="P328" s="262">
        <f t="shared" si="86"/>
        <v>0</v>
      </c>
      <c r="Q328" s="262">
        <f t="shared" si="87"/>
        <v>0</v>
      </c>
      <c r="R328" s="262">
        <f t="shared" si="88"/>
        <v>0</v>
      </c>
    </row>
    <row r="329" spans="1:18">
      <c r="B329" s="122" t="s">
        <v>262</v>
      </c>
      <c r="H329" s="110"/>
      <c r="I329" s="262">
        <f t="shared" si="80"/>
        <v>0</v>
      </c>
      <c r="J329" s="262">
        <f t="shared" si="81"/>
        <v>0</v>
      </c>
      <c r="K329" s="262">
        <f t="shared" si="82"/>
        <v>0</v>
      </c>
      <c r="L329" s="262">
        <f t="shared" si="83"/>
        <v>0</v>
      </c>
      <c r="M329" s="262">
        <f t="shared" si="84"/>
        <v>0</v>
      </c>
      <c r="O329" s="262">
        <f t="shared" si="85"/>
        <v>0</v>
      </c>
      <c r="P329" s="262">
        <f t="shared" si="86"/>
        <v>0</v>
      </c>
      <c r="Q329" s="262">
        <f t="shared" si="87"/>
        <v>0</v>
      </c>
      <c r="R329" s="262">
        <f t="shared" si="88"/>
        <v>0</v>
      </c>
    </row>
    <row r="330" spans="1:18">
      <c r="B330" s="122" t="s">
        <v>152</v>
      </c>
      <c r="H330" s="110"/>
      <c r="I330" s="262">
        <f t="shared" si="80"/>
        <v>0</v>
      </c>
      <c r="J330" s="262">
        <f t="shared" si="81"/>
        <v>0</v>
      </c>
      <c r="K330" s="262">
        <f t="shared" si="82"/>
        <v>0</v>
      </c>
      <c r="L330" s="262">
        <f t="shared" si="83"/>
        <v>0</v>
      </c>
      <c r="M330" s="262">
        <f t="shared" si="84"/>
        <v>0</v>
      </c>
      <c r="O330" s="262">
        <f t="shared" si="85"/>
        <v>0</v>
      </c>
      <c r="P330" s="262">
        <f t="shared" si="86"/>
        <v>0</v>
      </c>
      <c r="Q330" s="262">
        <f t="shared" si="87"/>
        <v>0</v>
      </c>
      <c r="R330" s="262">
        <f t="shared" si="88"/>
        <v>0</v>
      </c>
    </row>
    <row r="331" spans="1:18">
      <c r="B331" s="122" t="s">
        <v>263</v>
      </c>
      <c r="H331" s="110"/>
      <c r="I331" s="262">
        <f t="shared" si="80"/>
        <v>0</v>
      </c>
      <c r="J331" s="262">
        <f t="shared" si="81"/>
        <v>0</v>
      </c>
      <c r="K331" s="262">
        <f t="shared" si="82"/>
        <v>0</v>
      </c>
      <c r="L331" s="262">
        <f t="shared" si="83"/>
        <v>0</v>
      </c>
      <c r="M331" s="262">
        <f t="shared" si="84"/>
        <v>0</v>
      </c>
      <c r="O331" s="262">
        <f t="shared" si="85"/>
        <v>0</v>
      </c>
      <c r="P331" s="262">
        <f t="shared" si="86"/>
        <v>0</v>
      </c>
      <c r="Q331" s="262">
        <f t="shared" si="87"/>
        <v>0</v>
      </c>
      <c r="R331" s="262">
        <f t="shared" si="88"/>
        <v>0</v>
      </c>
    </row>
    <row r="332" spans="1:18">
      <c r="B332" s="122" t="s">
        <v>153</v>
      </c>
      <c r="H332" s="110"/>
      <c r="I332" s="262">
        <f t="shared" si="80"/>
        <v>0</v>
      </c>
      <c r="J332" s="262">
        <f t="shared" si="81"/>
        <v>0</v>
      </c>
      <c r="K332" s="262">
        <f t="shared" si="82"/>
        <v>0</v>
      </c>
      <c r="L332" s="262">
        <f t="shared" si="83"/>
        <v>0</v>
      </c>
      <c r="M332" s="262">
        <f t="shared" si="84"/>
        <v>0</v>
      </c>
      <c r="O332" s="262">
        <f t="shared" si="85"/>
        <v>0</v>
      </c>
      <c r="P332" s="262">
        <f t="shared" si="86"/>
        <v>0</v>
      </c>
      <c r="Q332" s="262">
        <f t="shared" si="87"/>
        <v>0</v>
      </c>
      <c r="R332" s="262">
        <f t="shared" si="88"/>
        <v>0</v>
      </c>
    </row>
    <row r="333" spans="1:18">
      <c r="B333" s="122" t="s">
        <v>154</v>
      </c>
      <c r="H333" s="110"/>
      <c r="I333" s="262">
        <f t="shared" si="80"/>
        <v>0</v>
      </c>
      <c r="J333" s="262">
        <f t="shared" si="81"/>
        <v>0</v>
      </c>
      <c r="K333" s="262">
        <f t="shared" si="82"/>
        <v>0</v>
      </c>
      <c r="L333" s="262">
        <f t="shared" si="83"/>
        <v>0</v>
      </c>
      <c r="M333" s="262">
        <f t="shared" si="84"/>
        <v>0</v>
      </c>
      <c r="O333" s="262">
        <f t="shared" si="85"/>
        <v>0</v>
      </c>
      <c r="P333" s="262">
        <f t="shared" si="86"/>
        <v>0</v>
      </c>
      <c r="Q333" s="262">
        <f t="shared" si="87"/>
        <v>0</v>
      </c>
      <c r="R333" s="262">
        <f t="shared" si="88"/>
        <v>0</v>
      </c>
    </row>
    <row r="334" spans="1:18">
      <c r="B334" s="122" t="s">
        <v>264</v>
      </c>
      <c r="H334" s="110"/>
      <c r="I334" s="262">
        <f t="shared" si="80"/>
        <v>0</v>
      </c>
      <c r="J334" s="262">
        <f t="shared" si="81"/>
        <v>0</v>
      </c>
      <c r="K334" s="262">
        <f t="shared" si="82"/>
        <v>0</v>
      </c>
      <c r="L334" s="262">
        <f t="shared" si="83"/>
        <v>0</v>
      </c>
      <c r="M334" s="262">
        <f t="shared" si="84"/>
        <v>0</v>
      </c>
      <c r="O334" s="262">
        <f t="shared" si="85"/>
        <v>0</v>
      </c>
      <c r="P334" s="262">
        <f t="shared" si="86"/>
        <v>0</v>
      </c>
      <c r="Q334" s="262">
        <f t="shared" si="87"/>
        <v>0</v>
      </c>
      <c r="R334" s="262">
        <f t="shared" si="88"/>
        <v>0</v>
      </c>
    </row>
    <row r="335" spans="1:18" hidden="1">
      <c r="B335" s="122"/>
      <c r="H335" s="110"/>
      <c r="I335" s="262">
        <f t="shared" ref="I335:I340" si="89">IFERROR(C335/C$186,0)</f>
        <v>0</v>
      </c>
      <c r="J335" s="262">
        <f t="shared" ref="J335:J340" si="90">IFERROR(D335/D$186,0)</f>
        <v>0</v>
      </c>
      <c r="K335" s="262">
        <f t="shared" ref="K335:K340" si="91">IFERROR(E335/E$186,0)</f>
        <v>0</v>
      </c>
      <c r="L335" s="262">
        <f t="shared" ref="L335:L340" si="92">IFERROR(F335/F$186,0)</f>
        <v>0</v>
      </c>
      <c r="M335" s="262">
        <f t="shared" ref="M335:M340" si="93">IFERROR(G335/G$186,0)</f>
        <v>0</v>
      </c>
      <c r="O335" s="262">
        <f t="shared" ref="O335:O340" si="94">IFERROR(D335/C335-1,0)</f>
        <v>0</v>
      </c>
      <c r="P335" s="262">
        <f t="shared" ref="P335:P340" si="95">IFERROR(E335/D335-1,0)</f>
        <v>0</v>
      </c>
      <c r="Q335" s="262">
        <f t="shared" ref="Q335:Q340" si="96">IFERROR(F335/E335-1,0)</f>
        <v>0</v>
      </c>
      <c r="R335" s="262">
        <f t="shared" ref="R335:R340" si="97">IFERROR(G335/F335-1,0)</f>
        <v>0</v>
      </c>
    </row>
    <row r="336" spans="1:18" hidden="1">
      <c r="B336" s="122"/>
      <c r="H336" s="110"/>
      <c r="I336" s="262">
        <f t="shared" si="89"/>
        <v>0</v>
      </c>
      <c r="J336" s="262">
        <f t="shared" si="90"/>
        <v>0</v>
      </c>
      <c r="K336" s="262">
        <f t="shared" si="91"/>
        <v>0</v>
      </c>
      <c r="L336" s="262">
        <f t="shared" si="92"/>
        <v>0</v>
      </c>
      <c r="M336" s="262">
        <f t="shared" si="93"/>
        <v>0</v>
      </c>
      <c r="O336" s="262">
        <f t="shared" si="94"/>
        <v>0</v>
      </c>
      <c r="P336" s="262">
        <f t="shared" si="95"/>
        <v>0</v>
      </c>
      <c r="Q336" s="262">
        <f t="shared" si="96"/>
        <v>0</v>
      </c>
      <c r="R336" s="262">
        <f t="shared" si="97"/>
        <v>0</v>
      </c>
    </row>
    <row r="337" spans="2:18" hidden="1">
      <c r="B337" s="122"/>
      <c r="H337" s="110"/>
      <c r="I337" s="262">
        <f t="shared" si="89"/>
        <v>0</v>
      </c>
      <c r="J337" s="262">
        <f t="shared" si="90"/>
        <v>0</v>
      </c>
      <c r="K337" s="262">
        <f t="shared" si="91"/>
        <v>0</v>
      </c>
      <c r="L337" s="262">
        <f t="shared" si="92"/>
        <v>0</v>
      </c>
      <c r="M337" s="262">
        <f t="shared" si="93"/>
        <v>0</v>
      </c>
      <c r="O337" s="262">
        <f t="shared" si="94"/>
        <v>0</v>
      </c>
      <c r="P337" s="262">
        <f t="shared" si="95"/>
        <v>0</v>
      </c>
      <c r="Q337" s="262">
        <f t="shared" si="96"/>
        <v>0</v>
      </c>
      <c r="R337" s="262">
        <f t="shared" si="97"/>
        <v>0</v>
      </c>
    </row>
    <row r="338" spans="2:18" hidden="1">
      <c r="B338" s="122"/>
      <c r="H338" s="110"/>
      <c r="I338" s="262">
        <f t="shared" si="89"/>
        <v>0</v>
      </c>
      <c r="J338" s="262">
        <f t="shared" si="90"/>
        <v>0</v>
      </c>
      <c r="K338" s="262">
        <f t="shared" si="91"/>
        <v>0</v>
      </c>
      <c r="L338" s="262">
        <f t="shared" si="92"/>
        <v>0</v>
      </c>
      <c r="M338" s="262">
        <f t="shared" si="93"/>
        <v>0</v>
      </c>
      <c r="O338" s="262">
        <f t="shared" si="94"/>
        <v>0</v>
      </c>
      <c r="P338" s="262">
        <f t="shared" si="95"/>
        <v>0</v>
      </c>
      <c r="Q338" s="262">
        <f t="shared" si="96"/>
        <v>0</v>
      </c>
      <c r="R338" s="262">
        <f t="shared" si="97"/>
        <v>0</v>
      </c>
    </row>
    <row r="339" spans="2:18" hidden="1">
      <c r="B339" s="122"/>
      <c r="H339" s="110"/>
      <c r="I339" s="262">
        <f t="shared" si="89"/>
        <v>0</v>
      </c>
      <c r="J339" s="262">
        <f t="shared" si="90"/>
        <v>0</v>
      </c>
      <c r="K339" s="262">
        <f t="shared" si="91"/>
        <v>0</v>
      </c>
      <c r="L339" s="262">
        <f t="shared" si="92"/>
        <v>0</v>
      </c>
      <c r="M339" s="262">
        <f t="shared" si="93"/>
        <v>0</v>
      </c>
      <c r="O339" s="262">
        <f t="shared" si="94"/>
        <v>0</v>
      </c>
      <c r="P339" s="262">
        <f t="shared" si="95"/>
        <v>0</v>
      </c>
      <c r="Q339" s="262">
        <f t="shared" si="96"/>
        <v>0</v>
      </c>
      <c r="R339" s="262">
        <f t="shared" si="97"/>
        <v>0</v>
      </c>
    </row>
    <row r="340" spans="2:18" hidden="1">
      <c r="B340" s="122"/>
      <c r="H340" s="110"/>
      <c r="I340" s="262">
        <f t="shared" si="89"/>
        <v>0</v>
      </c>
      <c r="J340" s="262">
        <f t="shared" si="90"/>
        <v>0</v>
      </c>
      <c r="K340" s="262">
        <f t="shared" si="91"/>
        <v>0</v>
      </c>
      <c r="L340" s="262">
        <f t="shared" si="92"/>
        <v>0</v>
      </c>
      <c r="M340" s="262">
        <f t="shared" si="93"/>
        <v>0</v>
      </c>
      <c r="O340" s="262">
        <f t="shared" si="94"/>
        <v>0</v>
      </c>
      <c r="P340" s="262">
        <f t="shared" si="95"/>
        <v>0</v>
      </c>
      <c r="Q340" s="262">
        <f t="shared" si="96"/>
        <v>0</v>
      </c>
      <c r="R340" s="262">
        <f t="shared" si="97"/>
        <v>0</v>
      </c>
    </row>
    <row r="341" spans="2:18">
      <c r="B341" s="122" t="s">
        <v>155</v>
      </c>
      <c r="H341" s="110"/>
      <c r="I341" s="262">
        <f t="shared" si="80"/>
        <v>0</v>
      </c>
      <c r="J341" s="262">
        <f t="shared" si="81"/>
        <v>0</v>
      </c>
      <c r="K341" s="262">
        <f t="shared" si="82"/>
        <v>0</v>
      </c>
      <c r="L341" s="262">
        <f t="shared" si="83"/>
        <v>0</v>
      </c>
      <c r="M341" s="262">
        <f t="shared" si="84"/>
        <v>0</v>
      </c>
      <c r="O341" s="262">
        <f t="shared" si="85"/>
        <v>0</v>
      </c>
      <c r="P341" s="262">
        <f t="shared" si="86"/>
        <v>0</v>
      </c>
      <c r="Q341" s="262">
        <f t="shared" si="87"/>
        <v>0</v>
      </c>
      <c r="R341" s="262">
        <f t="shared" si="88"/>
        <v>0</v>
      </c>
    </row>
    <row r="342" spans="2:18">
      <c r="B342" s="135" t="s">
        <v>33</v>
      </c>
      <c r="C342" s="94">
        <f>C259+C286+C323</f>
        <v>0</v>
      </c>
      <c r="D342" s="94">
        <f>D259+D286+D323</f>
        <v>0</v>
      </c>
      <c r="E342" s="94">
        <f>E259+E286+E323</f>
        <v>0</v>
      </c>
      <c r="F342" s="94">
        <f>F259+F286+F323</f>
        <v>0</v>
      </c>
      <c r="G342" s="94">
        <f>G259+G286+G323</f>
        <v>0</v>
      </c>
      <c r="H342" s="110"/>
      <c r="I342" s="268">
        <f t="shared" si="80"/>
        <v>0</v>
      </c>
      <c r="J342" s="268">
        <f t="shared" si="81"/>
        <v>0</v>
      </c>
      <c r="K342" s="268">
        <f t="shared" si="82"/>
        <v>0</v>
      </c>
      <c r="L342" s="268">
        <f t="shared" si="83"/>
        <v>0</v>
      </c>
      <c r="M342" s="268">
        <f t="shared" si="84"/>
        <v>0</v>
      </c>
      <c r="O342" s="268">
        <f t="shared" si="85"/>
        <v>0</v>
      </c>
      <c r="P342" s="268">
        <f t="shared" si="86"/>
        <v>0</v>
      </c>
      <c r="Q342" s="268">
        <f t="shared" si="87"/>
        <v>0</v>
      </c>
      <c r="R342" s="268">
        <f t="shared" si="88"/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I22"/>
  <sheetViews>
    <sheetView showGridLines="0" tabSelected="1" zoomScale="96" zoomScaleNormal="104" workbookViewId="0">
      <selection activeCell="H1" sqref="H1"/>
    </sheetView>
  </sheetViews>
  <sheetFormatPr defaultColWidth="9.1796875" defaultRowHeight="16"/>
  <cols>
    <col min="1" max="1" width="3" style="7" bestFit="1" customWidth="1"/>
    <col min="2" max="2" width="23.81640625" style="7" bestFit="1" customWidth="1"/>
    <col min="3" max="3" width="41.453125" style="7" bestFit="1" customWidth="1"/>
    <col min="4" max="4" width="7.6328125" style="30" customWidth="1"/>
    <col min="5" max="5" width="7.6328125" style="31" customWidth="1"/>
    <col min="6" max="8" width="7.6328125" style="7" customWidth="1"/>
    <col min="9" max="16384" width="9.1796875" style="7"/>
  </cols>
  <sheetData>
    <row r="2" spans="2:9">
      <c r="B2" s="34" t="s">
        <v>89</v>
      </c>
      <c r="C2" s="19"/>
      <c r="D2" s="20"/>
      <c r="E2" s="21"/>
    </row>
    <row r="3" spans="2:9">
      <c r="B3" s="142" t="s">
        <v>5</v>
      </c>
      <c r="C3" s="142" t="s">
        <v>90</v>
      </c>
      <c r="D3" s="143" t="str">
        <f>IS!C5</f>
        <v>FY22</v>
      </c>
      <c r="E3" s="143" t="str">
        <f>IS!D5</f>
        <v>FY23</v>
      </c>
      <c r="F3" s="143" t="str">
        <f>IS!E5</f>
        <v>FY24</v>
      </c>
      <c r="G3" s="143" t="str">
        <f>IS!F5</f>
        <v>FY25</v>
      </c>
      <c r="H3" s="143" t="str">
        <f>IS!G5</f>
        <v>FY26</v>
      </c>
    </row>
    <row r="4" spans="2:9">
      <c r="B4" s="32" t="s">
        <v>91</v>
      </c>
      <c r="C4" s="32" t="s">
        <v>92</v>
      </c>
      <c r="D4" s="33">
        <f>IFERROR(BS!C26/BS!C32,0)</f>
        <v>0</v>
      </c>
      <c r="E4" s="33">
        <f>IFERROR(BS!D26/BS!D32,0)</f>
        <v>0</v>
      </c>
      <c r="F4" s="33">
        <f>IFERROR(BS!E26/BS!E32,0)</f>
        <v>0</v>
      </c>
      <c r="G4" s="33">
        <f>IFERROR(BS!F26/BS!F32,0)</f>
        <v>0</v>
      </c>
      <c r="H4" s="33">
        <f>IFERROR(BS!G26/BS!G32,0)</f>
        <v>0</v>
      </c>
    </row>
    <row r="5" spans="2:9" hidden="1">
      <c r="B5" s="22" t="s">
        <v>93</v>
      </c>
      <c r="C5" s="22"/>
      <c r="D5" s="22"/>
      <c r="E5" s="22"/>
      <c r="F5" s="22"/>
      <c r="G5" s="22"/>
      <c r="H5" s="22"/>
    </row>
    <row r="6" spans="2:9">
      <c r="B6" s="22" t="s">
        <v>94</v>
      </c>
      <c r="C6" s="22" t="s">
        <v>95</v>
      </c>
      <c r="D6" s="23">
        <f>IFERROR(IS!C7/BS!C16,0)</f>
        <v>0</v>
      </c>
      <c r="E6" s="23">
        <f>IFERROR(IS!D7/BS!D16,0)</f>
        <v>0</v>
      </c>
      <c r="F6" s="23">
        <f>IFERROR(IS!E7/BS!E16,0)</f>
        <v>0</v>
      </c>
      <c r="G6" s="23">
        <f>IFERROR(IS!F7/BS!F16,0)</f>
        <v>0</v>
      </c>
      <c r="H6" s="23">
        <f>IFERROR(IS!G7/BS!G16,0)</f>
        <v>0</v>
      </c>
    </row>
    <row r="7" spans="2:9">
      <c r="B7" s="22" t="s">
        <v>207</v>
      </c>
      <c r="C7" s="22" t="s">
        <v>209</v>
      </c>
      <c r="D7" s="113">
        <f>IFERROR((IS!C19+IS!C18)/(BS!C10+BS!C13-BS!C19-BS!C18),0)</f>
        <v>0</v>
      </c>
      <c r="E7" s="113">
        <f>IFERROR((IS!D19+IS!D18)/(BS!D10+BS!D13-BS!D19-BS!D18),0)</f>
        <v>0</v>
      </c>
      <c r="F7" s="113">
        <f>IFERROR((IS!E19+IS!E18)/(BS!E10+BS!E13-BS!E19-BS!E18),0)</f>
        <v>0</v>
      </c>
      <c r="G7" s="113">
        <f>IFERROR((IS!F19+IS!F18)/(BS!F10+BS!F13-BS!F19-BS!F18),0)</f>
        <v>0</v>
      </c>
      <c r="H7" s="113">
        <f>IFERROR((IS!G19+IS!G18)/(BS!G10+BS!G13-BS!G19-BS!G18),0)</f>
        <v>0</v>
      </c>
    </row>
    <row r="8" spans="2:9">
      <c r="B8" s="22" t="s">
        <v>208</v>
      </c>
      <c r="C8" s="22" t="s">
        <v>210</v>
      </c>
      <c r="D8" s="24">
        <f>IFERROR((IS!C19)/(BS!C10-BS!C19-BS!C18),0)</f>
        <v>0</v>
      </c>
      <c r="E8" s="24">
        <f>IFERROR((IS!D19)/(BS!D10-BS!D19-BS!D18),0)</f>
        <v>0</v>
      </c>
      <c r="F8" s="24">
        <f>IFERROR((IS!E19)/(BS!E10-BS!E19-BS!E18),0)</f>
        <v>0</v>
      </c>
      <c r="G8" s="24">
        <f>IFERROR((IS!F19)/(BS!F10-BS!F19-BS!F18),0)</f>
        <v>0</v>
      </c>
      <c r="H8" s="24">
        <f>IFERROR((IS!G19)/(BS!G10-BS!G19-BS!G18),0)</f>
        <v>0</v>
      </c>
    </row>
    <row r="9" spans="2:9">
      <c r="B9" s="22" t="s">
        <v>219</v>
      </c>
      <c r="C9" s="22" t="s">
        <v>221</v>
      </c>
      <c r="D9" s="24">
        <f>IS!H16</f>
        <v>0</v>
      </c>
      <c r="E9" s="24">
        <f>IS!I16</f>
        <v>0</v>
      </c>
      <c r="F9" s="24">
        <f>IS!J16</f>
        <v>0</v>
      </c>
      <c r="G9" s="24">
        <f>IS!K16</f>
        <v>0</v>
      </c>
      <c r="H9" s="24">
        <f>IS!L16</f>
        <v>0</v>
      </c>
    </row>
    <row r="10" spans="2:9">
      <c r="B10" s="22" t="s">
        <v>220</v>
      </c>
      <c r="C10" s="22" t="s">
        <v>222</v>
      </c>
      <c r="D10" s="24">
        <f>IS!H19</f>
        <v>0</v>
      </c>
      <c r="E10" s="24">
        <f>IS!I19</f>
        <v>0</v>
      </c>
      <c r="F10" s="24">
        <f>IS!J19</f>
        <v>0</v>
      </c>
      <c r="G10" s="24">
        <f>IS!K19</f>
        <v>0</v>
      </c>
      <c r="H10" s="24">
        <f>IS!L19</f>
        <v>0</v>
      </c>
    </row>
    <row r="11" spans="2:9" ht="3" customHeight="1" thickBot="1">
      <c r="B11" s="25"/>
      <c r="C11" s="25"/>
      <c r="D11" s="26"/>
      <c r="E11" s="26"/>
      <c r="F11" s="18"/>
      <c r="G11" s="18"/>
      <c r="H11" s="18"/>
    </row>
    <row r="12" spans="2:9">
      <c r="B12" s="22"/>
      <c r="C12" s="22"/>
      <c r="D12" s="24"/>
      <c r="E12" s="24"/>
      <c r="I12"/>
    </row>
    <row r="13" spans="2:9">
      <c r="B13" s="27" t="s">
        <v>96</v>
      </c>
      <c r="C13" s="27"/>
      <c r="D13" s="24"/>
      <c r="E13" s="24"/>
    </row>
    <row r="14" spans="2:9">
      <c r="B14" s="142" t="s">
        <v>5</v>
      </c>
      <c r="C14" s="142" t="s">
        <v>90</v>
      </c>
      <c r="D14" s="143" t="str">
        <f>D3</f>
        <v>FY22</v>
      </c>
      <c r="E14" s="143" t="str">
        <f>E3</f>
        <v>FY23</v>
      </c>
      <c r="F14" s="143" t="str">
        <f>F3</f>
        <v>FY24</v>
      </c>
      <c r="G14" s="143" t="str">
        <f>G3</f>
        <v>FY25</v>
      </c>
      <c r="H14" s="143" t="str">
        <f>H3</f>
        <v>FY26</v>
      </c>
    </row>
    <row r="15" spans="2:9">
      <c r="B15" s="7" t="s">
        <v>216</v>
      </c>
      <c r="C15" s="61" t="s">
        <v>227</v>
      </c>
      <c r="D15" s="35">
        <f>IFERROR(BS!C21/IS!C7*365,0)</f>
        <v>0</v>
      </c>
      <c r="E15" s="35">
        <f>IFERROR(BS!D21/IS!D7*365,0)</f>
        <v>0</v>
      </c>
      <c r="F15" s="35">
        <f>IFERROR(BS!E21/IS!E7*365,0)</f>
        <v>0</v>
      </c>
      <c r="G15" s="35">
        <f>IFERROR(BS!F21/IS!F7*365,0)</f>
        <v>0</v>
      </c>
      <c r="H15" s="35">
        <f>IFERROR(BS!G21/IS!G7*365,0)</f>
        <v>0</v>
      </c>
      <c r="I15" s="61"/>
    </row>
    <row r="16" spans="2:9">
      <c r="B16" s="7" t="s">
        <v>213</v>
      </c>
      <c r="C16" s="61" t="s">
        <v>228</v>
      </c>
      <c r="D16" s="35">
        <f>IFERROR(BS!C22/IS!C7*365,0)</f>
        <v>0</v>
      </c>
      <c r="E16" s="35">
        <f>IFERROR(BS!D22/IS!D7*365,0)</f>
        <v>0</v>
      </c>
      <c r="F16" s="35">
        <f>IFERROR(BS!E22/IS!E7*365,0)</f>
        <v>0</v>
      </c>
      <c r="G16" s="35">
        <f>IFERROR(BS!F22/IS!F7*365,0)</f>
        <v>0</v>
      </c>
      <c r="H16" s="35">
        <f>IFERROR(BS!G22/IS!G7*365,0)</f>
        <v>0</v>
      </c>
      <c r="I16" s="61"/>
    </row>
    <row r="17" spans="2:9">
      <c r="B17" s="7" t="s">
        <v>214</v>
      </c>
      <c r="C17" s="61" t="s">
        <v>229</v>
      </c>
      <c r="D17" s="35">
        <f>IFERROR((BS!C23+BS!C24+BS!C25)/IS!C7*365,0)</f>
        <v>0</v>
      </c>
      <c r="E17" s="35">
        <f>IFERROR((BS!D23+BS!D24+BS!D25)/IS!D7*365,0)</f>
        <v>0</v>
      </c>
      <c r="F17" s="35">
        <f>IFERROR((BS!E23+BS!E24+BS!E25)/IS!E7*365,0)</f>
        <v>0</v>
      </c>
      <c r="G17" s="35">
        <f>IFERROR((BS!F23+BS!F24+BS!F25)/IS!F7*365,0)</f>
        <v>0</v>
      </c>
      <c r="H17" s="35">
        <f>IFERROR((BS!G23+BS!G24+BS!G25)/IS!G7*365,0)</f>
        <v>0</v>
      </c>
      <c r="I17" s="61"/>
    </row>
    <row r="18" spans="2:9">
      <c r="B18" s="7" t="s">
        <v>215</v>
      </c>
      <c r="C18" s="61" t="s">
        <v>230</v>
      </c>
      <c r="D18" s="35">
        <f>IFERROR(BS!C28/IS!C7*365,0)</f>
        <v>0</v>
      </c>
      <c r="E18" s="35">
        <f>IFERROR(BS!D28/IS!D7*365,0)</f>
        <v>0</v>
      </c>
      <c r="F18" s="35">
        <f>IFERROR(BS!E28/IS!E7*365,0)</f>
        <v>0</v>
      </c>
      <c r="G18" s="35">
        <f>IFERROR(BS!F28/IS!F7*365,0)</f>
        <v>0</v>
      </c>
      <c r="H18" s="35">
        <f>IFERROR(BS!G28/IS!G7*365,0)</f>
        <v>0</v>
      </c>
      <c r="I18" s="61"/>
    </row>
    <row r="19" spans="2:9">
      <c r="B19" s="7" t="s">
        <v>217</v>
      </c>
      <c r="C19" s="61" t="s">
        <v>231</v>
      </c>
      <c r="D19" s="35">
        <f>IFERROR((BS!C29+BS!C30+BS!C31)/IS!C7*365,0)</f>
        <v>0</v>
      </c>
      <c r="E19" s="35">
        <f>IFERROR((BS!D29+BS!D30+BS!D31)/IS!D7*365,0)</f>
        <v>0</v>
      </c>
      <c r="F19" s="35">
        <f>IFERROR((BS!E29+BS!E30+BS!E31)/IS!E7*365,0)</f>
        <v>0</v>
      </c>
      <c r="G19" s="35">
        <f>IFERROR((BS!F29+BS!F30+BS!F31)/IS!F7*365,0)</f>
        <v>0</v>
      </c>
      <c r="H19" s="35">
        <f>IFERROR((BS!G29+BS!G30+BS!G31)/IS!G7*365,0)</f>
        <v>0</v>
      </c>
      <c r="I19" s="61"/>
    </row>
    <row r="20" spans="2:9" ht="16.5" thickBot="1">
      <c r="B20" s="144" t="s">
        <v>97</v>
      </c>
      <c r="C20" s="144"/>
      <c r="D20" s="145">
        <f>SUM(D15:D17)-D18-D19</f>
        <v>0</v>
      </c>
      <c r="E20" s="145">
        <f t="shared" ref="E20:H20" si="0">SUM(E15:E17)-E18-E19</f>
        <v>0</v>
      </c>
      <c r="F20" s="145">
        <f t="shared" si="0"/>
        <v>0</v>
      </c>
      <c r="G20" s="145">
        <f t="shared" si="0"/>
        <v>0</v>
      </c>
      <c r="H20" s="145">
        <f t="shared" si="0"/>
        <v>0</v>
      </c>
    </row>
    <row r="21" spans="2:9">
      <c r="B21" s="9"/>
      <c r="C21" s="9"/>
      <c r="D21" s="28"/>
      <c r="E21" s="29"/>
    </row>
    <row r="22" spans="2:9">
      <c r="C22" s="114" t="s">
        <v>218</v>
      </c>
      <c r="D22" s="4">
        <f>IFERROR(BS!C33/IS!C7*365,0)</f>
        <v>0</v>
      </c>
      <c r="E22" s="4">
        <f>IFERROR(BS!D33/IS!D7*365,0)</f>
        <v>0</v>
      </c>
      <c r="F22" s="4">
        <f>IFERROR(BS!E33/IS!E7*365,0)</f>
        <v>0</v>
      </c>
      <c r="G22" s="4">
        <f>IFERROR(BS!F33/IS!F7*365,0)</f>
        <v>0</v>
      </c>
      <c r="H22" s="4">
        <f>IFERROR(BS!G33/IS!G7*365,0)</f>
        <v>0</v>
      </c>
    </row>
  </sheetData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IS</vt:lpstr>
      <vt:lpstr>BS</vt:lpstr>
      <vt:lpstr>CF</vt:lpstr>
      <vt:lpstr>Sch.</vt:lpstr>
      <vt:lpstr>Ratios</vt:lpstr>
      <vt:lpstr>curr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2015-06-05T18:17:20Z</dcterms:created>
  <dcterms:modified xsi:type="dcterms:W3CDTF">2026-10-06T12:56:12Z</dcterms:modified>
  <cp:category/>
  <cp:contentStatus/>
</cp:coreProperties>
</file>