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711" firstSheet="0" activeTab="4" autoFilterDateGrouping="1"/>
  </bookViews>
  <sheets>
    <sheet name="IS" sheetId="1" state="visible" r:id="rId1"/>
    <sheet name="BS" sheetId="2" state="visible" r:id="rId2"/>
    <sheet name="CF" sheetId="3" state="visible" r:id="rId3"/>
    <sheet name="Sch." sheetId="4" state="visible" r:id="rId4"/>
    <sheet name="Ratios" sheetId="5" state="visible" r:id="rId5"/>
  </sheets>
  <definedNames>
    <definedName name="curr">IS!$AI$4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 * #,##0.0_ ;_ * \-#,##0.0_ ;_ * &quot;-&quot;??_ ;_ @_ "/>
    <numFmt numFmtId="165" formatCode="_ * #,##0_ ;_ * \-#,##0_ ;_ * &quot;-&quot;??_ ;_ @_ "/>
    <numFmt numFmtId="166" formatCode="_(* #,##0.0_);_(* \(#,##0.0\);_(* &quot;-&quot;?_);@_)"/>
    <numFmt numFmtId="167" formatCode="_ * #,##0.00_ ;_ * \-#,##0.00_ ;_ * &quot;-&quot;??_ ;_ @_ "/>
    <numFmt numFmtId="168" formatCode="0.0%"/>
    <numFmt numFmtId="169" formatCode="_(* #,##0_);_(* \(#,##0\);_(* &quot;-&quot;??_);_(@_)"/>
    <numFmt numFmtId="170" formatCode="_(* #,##0.0_);_(* \(#,##0.0\);_(* &quot;-&quot;??_);_(@_)"/>
    <numFmt numFmtId="171" formatCode="_(* #,##0_);_(* \(#,##0\);_(* &quot;-&quot;?_);@_)"/>
    <numFmt numFmtId="172" formatCode="#,##0.0_);\(#,##0.0\)"/>
    <numFmt numFmtId="173" formatCode="_ * #,##0.000_ ;_ * \-#,##0.000_ ;_ * &quot;-&quot;??_ ;_ @_ "/>
    <numFmt numFmtId="174" formatCode="_ * #,##0.000000000000000000000000000000000000_ ;_ * \-#,##0.000000000000000000000000000000000000_ ;_ * &quot;-&quot;??_ ;_ @_ "/>
    <numFmt numFmtId="175" formatCode="_ * #,##0.00000000000000000_ ;_ * \-#,##0.00000000000000000_ ;_ * &quot;-&quot;??_ ;_ @_ "/>
    <numFmt numFmtId="176" formatCode="_(&quot;$&quot;* #,##0.00_);_(&quot;$&quot;* \(#,##0.00\);_(&quot;$&quot;* &quot;-&quot;??_);_(@_)"/>
    <numFmt numFmtId="177" formatCode="_(* #,##0.00_);_(* \(#,##0.00\);_(* \-??_);_(@_)"/>
  </numFmts>
  <fonts count="27">
    <font>
      <name val="Calibri"/>
      <family val="2"/>
      <color theme="1"/>
      <sz val="11"/>
      <scheme val="minor"/>
    </font>
    <font>
      <name val="Ebrima"/>
      <family val="2"/>
      <color theme="1"/>
      <sz val="10"/>
    </font>
    <font>
      <name val="Ebrima"/>
      <family val="2"/>
      <color theme="1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Ebrima"/>
      <family val="2"/>
      <b val="1"/>
      <sz val="10"/>
    </font>
    <font>
      <name val="Ebrima"/>
      <family val="2"/>
      <color theme="1"/>
      <sz val="10"/>
    </font>
    <font>
      <name val="Ebrima"/>
      <family val="2"/>
      <sz val="10"/>
    </font>
    <font>
      <name val="Ebrima"/>
      <family val="2"/>
      <b val="1"/>
      <color theme="1"/>
      <sz val="10"/>
    </font>
    <font>
      <name val="Arial"/>
      <family val="2"/>
      <sz val="9"/>
    </font>
    <font>
      <name val="Calibri"/>
      <family val="2"/>
      <color theme="10"/>
      <sz val="11"/>
      <u val="single"/>
    </font>
    <font>
      <name val="Ebrima"/>
      <family val="2"/>
      <i val="1"/>
      <color theme="1"/>
      <sz val="10"/>
    </font>
    <font>
      <name val="Ebrima"/>
      <family val="2"/>
      <color theme="1"/>
      <sz val="10"/>
    </font>
    <font>
      <name val="Ebrima"/>
      <family val="2"/>
      <b val="1"/>
      <color theme="0"/>
      <sz val="10"/>
    </font>
    <font>
      <name val="Ebrima"/>
      <family val="2"/>
      <color rgb="FFFF0000"/>
      <sz val="10"/>
    </font>
    <font>
      <name val="Calibri"/>
      <family val="2"/>
      <sz val="8"/>
      <scheme val="minor"/>
    </font>
    <font>
      <name val="Ebrima"/>
      <family val="2"/>
      <i val="1"/>
      <color rgb="FFFF0000"/>
      <sz val="10"/>
    </font>
    <font>
      <name val="Ebrima"/>
      <family val="2"/>
      <i val="1"/>
      <sz val="10"/>
    </font>
    <font>
      <name val="Ebrima"/>
      <family val="2"/>
      <color theme="1"/>
      <sz val="9"/>
    </font>
    <font>
      <name val="Ebrima"/>
      <family val="2"/>
      <sz val="9"/>
    </font>
    <font>
      <name val="Ebrima"/>
      <b val="1"/>
      <i val="1"/>
      <sz val="10"/>
    </font>
    <font>
      <name val="Ebrima"/>
      <b val="1"/>
      <i val="1"/>
      <color theme="1"/>
      <sz val="10"/>
    </font>
    <font>
      <name val="Ebrima"/>
      <color theme="1"/>
      <sz val="10"/>
    </font>
    <font>
      <name val="Ebrima"/>
      <sz val="10"/>
    </font>
    <font>
      <name val="Ebrima"/>
      <b val="1"/>
      <color theme="1"/>
      <sz val="10"/>
    </font>
    <font>
      <name val="Ebrima"/>
      <b val="1"/>
      <color theme="1"/>
      <sz val="10"/>
      <u val="single"/>
    </font>
    <font>
      <name val="Ebrima"/>
      <b val="1"/>
      <sz val="10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DEBF7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4">
    <xf numFmtId="0" fontId="3" fillId="0" borderId="0"/>
    <xf numFmtId="43" fontId="3" fillId="0" borderId="0"/>
    <xf numFmtId="9" fontId="3" fillId="0" borderId="0"/>
    <xf numFmtId="0" fontId="4" fillId="0" borderId="0"/>
    <xf numFmtId="166" fontId="9" fillId="0" borderId="0"/>
    <xf numFmtId="43" fontId="3" fillId="0" borderId="0"/>
    <xf numFmtId="43" fontId="3" fillId="0" borderId="0"/>
    <xf numFmtId="43" fontId="4" fillId="0" borderId="0"/>
    <xf numFmtId="43" fontId="4" fillId="0" borderId="0"/>
    <xf numFmtId="43" fontId="4" fillId="0" borderId="0"/>
    <xf numFmtId="43" fontId="3" fillId="0" borderId="0"/>
    <xf numFmtId="0" fontId="10" fillId="0" borderId="0" applyAlignment="1" applyProtection="1">
      <alignment vertical="top"/>
      <protection locked="0" hidden="0"/>
    </xf>
    <xf numFmtId="0" fontId="4" fillId="0" borderId="0"/>
    <xf numFmtId="0" fontId="4" fillId="0" borderId="0"/>
    <xf numFmtId="0" fontId="4" fillId="0" borderId="0"/>
    <xf numFmtId="0" fontId="4" fillId="0" borderId="0"/>
    <xf numFmtId="43" fontId="3" fillId="0" borderId="0"/>
    <xf numFmtId="43" fontId="3" fillId="0" borderId="0"/>
    <xf numFmtId="43" fontId="3" fillId="0" borderId="0"/>
    <xf numFmtId="0" fontId="4" fillId="0" borderId="0"/>
    <xf numFmtId="0" fontId="12" fillId="0" borderId="0"/>
    <xf numFmtId="176" fontId="4" fillId="0" borderId="0"/>
    <xf numFmtId="177" fontId="4" fillId="0" borderId="0"/>
    <xf numFmtId="9" fontId="4" fillId="0" borderId="0"/>
  </cellStyleXfs>
  <cellXfs count="378">
    <xf numFmtId="0" fontId="0" fillId="0" borderId="0" pivotButton="0" quotePrefix="0" xfId="0"/>
    <xf numFmtId="164" fontId="6" fillId="0" borderId="0" pivotButton="0" quotePrefix="0" xfId="1"/>
    <xf numFmtId="0" fontId="5" fillId="0" borderId="0" applyAlignment="1" pivotButton="0" quotePrefix="0" xfId="3">
      <alignment horizontal="left" vertical="top"/>
    </xf>
    <xf numFmtId="0" fontId="7" fillId="0" borderId="0" applyAlignment="1" pivotButton="0" quotePrefix="0" xfId="3">
      <alignment horizontal="left" vertical="top" wrapText="1"/>
    </xf>
    <xf numFmtId="165" fontId="6" fillId="0" borderId="0" pivotButton="0" quotePrefix="0" xfId="1"/>
    <xf numFmtId="165" fontId="8" fillId="0" borderId="0" pivotButton="0" quotePrefix="0" xfId="1"/>
    <xf numFmtId="166" fontId="7" fillId="0" borderId="0" applyAlignment="1" pivotButton="0" quotePrefix="0" xfId="4">
      <alignment horizontal="left"/>
    </xf>
    <xf numFmtId="0" fontId="6" fillId="0" borderId="0" pivotButton="0" quotePrefix="0" xfId="0"/>
    <xf numFmtId="165" fontId="8" fillId="0" borderId="0" applyAlignment="1" pivotButton="0" quotePrefix="0" xfId="1">
      <alignment vertical="top"/>
    </xf>
    <xf numFmtId="0" fontId="8" fillId="0" borderId="0" pivotButton="0" quotePrefix="0" xfId="0"/>
    <xf numFmtId="0" fontId="8" fillId="0" borderId="6" pivotButton="0" quotePrefix="0" xfId="0"/>
    <xf numFmtId="165" fontId="6" fillId="0" borderId="0" applyAlignment="1" pivotButton="0" quotePrefix="0" xfId="1">
      <alignment horizontal="right"/>
    </xf>
    <xf numFmtId="0" fontId="7" fillId="0" borderId="0" applyAlignment="1" pivotButton="0" quotePrefix="0" xfId="3">
      <alignment horizontal="left" vertical="top"/>
    </xf>
    <xf numFmtId="0" fontId="6" fillId="0" borderId="0" pivotButton="0" quotePrefix="0" xfId="1"/>
    <xf numFmtId="0" fontId="6" fillId="0" borderId="0" applyAlignment="1" pivotButton="0" quotePrefix="0" xfId="1">
      <alignment horizontal="left"/>
    </xf>
    <xf numFmtId="0" fontId="6" fillId="0" borderId="0" pivotButton="0" quotePrefix="0" xfId="1"/>
    <xf numFmtId="165" fontId="6" fillId="0" borderId="0" pivotButton="0" quotePrefix="0" xfId="1"/>
    <xf numFmtId="165" fontId="8" fillId="0" borderId="0" applyAlignment="1" pivotButton="0" quotePrefix="0" xfId="1">
      <alignment horizontal="right" vertical="center"/>
    </xf>
    <xf numFmtId="0" fontId="6" fillId="0" borderId="8" pivotButton="0" quotePrefix="0" xfId="0"/>
    <xf numFmtId="0" fontId="7" fillId="0" borderId="0" applyAlignment="1" applyProtection="1" pivotButton="0" quotePrefix="0" xfId="19">
      <alignment vertical="center"/>
      <protection locked="0" hidden="0"/>
    </xf>
    <xf numFmtId="167" fontId="5" fillId="0" borderId="0" applyAlignment="1" applyProtection="1" pivotButton="0" quotePrefix="0" xfId="1">
      <alignment vertical="center"/>
      <protection locked="0" hidden="0"/>
    </xf>
    <xf numFmtId="167" fontId="7" fillId="0" borderId="0" applyAlignment="1" applyProtection="1" pivotButton="0" quotePrefix="0" xfId="19">
      <alignment vertical="center"/>
      <protection locked="0" hidden="0"/>
    </xf>
    <xf numFmtId="0" fontId="7" fillId="2" borderId="0" applyAlignment="1" pivotButton="0" quotePrefix="0" xfId="0">
      <alignment horizontal="left" vertical="center"/>
    </xf>
    <xf numFmtId="164" fontId="7" fillId="2" borderId="0" applyAlignment="1" pivotButton="0" quotePrefix="0" xfId="1">
      <alignment horizontal="right" vertical="center"/>
    </xf>
    <xf numFmtId="168" fontId="7" fillId="2" borderId="0" applyAlignment="1" pivotButton="0" quotePrefix="0" xfId="2">
      <alignment horizontal="right" vertical="center"/>
    </xf>
    <xf numFmtId="0" fontId="7" fillId="2" borderId="8" applyAlignment="1" pivotButton="0" quotePrefix="0" xfId="0">
      <alignment horizontal="left" vertical="center"/>
    </xf>
    <xf numFmtId="168" fontId="7" fillId="2" borderId="8" applyAlignment="1" pivotButton="0" quotePrefix="0" xfId="2">
      <alignment horizontal="right" vertical="center"/>
    </xf>
    <xf numFmtId="0" fontId="5" fillId="2" borderId="0" applyAlignment="1" pivotButton="0" quotePrefix="0" xfId="0">
      <alignment horizontal="left" vertical="center"/>
    </xf>
    <xf numFmtId="167" fontId="8" fillId="0" borderId="0" applyAlignment="1" pivotButton="0" quotePrefix="0" xfId="1">
      <alignment horizontal="left"/>
    </xf>
    <xf numFmtId="167" fontId="8" fillId="0" borderId="0" pivotButton="0" quotePrefix="0" xfId="0"/>
    <xf numFmtId="167" fontId="6" fillId="0" borderId="0" pivotButton="0" quotePrefix="0" xfId="1"/>
    <xf numFmtId="167" fontId="6" fillId="0" borderId="0" pivotButton="0" quotePrefix="0" xfId="0"/>
    <xf numFmtId="0" fontId="7" fillId="0" borderId="0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0" fontId="5" fillId="0" borderId="0" applyAlignment="1" applyProtection="1" pivotButton="0" quotePrefix="0" xfId="19">
      <alignment vertical="center"/>
      <protection locked="0" hidden="0"/>
    </xf>
    <xf numFmtId="169" fontId="6" fillId="0" borderId="0" pivotButton="0" quotePrefix="0" xfId="1"/>
    <xf numFmtId="170" fontId="6" fillId="0" borderId="0" pivotButton="0" quotePrefix="0" xfId="1"/>
    <xf numFmtId="170" fontId="6" fillId="0" borderId="0" pivotButton="0" quotePrefix="0" xfId="0"/>
    <xf numFmtId="165" fontId="14" fillId="0" borderId="11" applyAlignment="1" pivotButton="0" quotePrefix="0" xfId="1">
      <alignment horizontal="left" vertical="top" wrapText="1"/>
    </xf>
    <xf numFmtId="0" fontId="14" fillId="0" borderId="0" pivotButton="0" quotePrefix="0" xfId="0"/>
    <xf numFmtId="164" fontId="6" fillId="0" borderId="0" pivotButton="0" quotePrefix="0" xfId="1"/>
    <xf numFmtId="167" fontId="6" fillId="0" borderId="0" pivotButton="0" quotePrefix="0" xfId="1"/>
    <xf numFmtId="167" fontId="14" fillId="0" borderId="0" pivotButton="0" quotePrefix="0" xfId="1"/>
    <xf numFmtId="167" fontId="6" fillId="0" borderId="0" pivotButton="0" quotePrefix="0" xfId="1"/>
    <xf numFmtId="164" fontId="5" fillId="0" borderId="0" applyAlignment="1" pivotButton="0" quotePrefix="0" xfId="1">
      <alignment vertical="top"/>
    </xf>
    <xf numFmtId="164" fontId="7" fillId="0" borderId="0" applyAlignment="1" pivotButton="0" quotePrefix="0" xfId="1">
      <alignment horizontal="left" vertical="top" wrapText="1"/>
    </xf>
    <xf numFmtId="164" fontId="5" fillId="0" borderId="0" applyAlignment="1" pivotButton="0" quotePrefix="1" xfId="1">
      <alignment horizontal="right" vertical="top"/>
    </xf>
    <xf numFmtId="164" fontId="8" fillId="0" borderId="6" pivotButton="0" quotePrefix="0" xfId="1"/>
    <xf numFmtId="164" fontId="8" fillId="0" borderId="6" pivotButton="0" quotePrefix="0" xfId="1"/>
    <xf numFmtId="170" fontId="14" fillId="0" borderId="0" pivotButton="0" quotePrefix="0" xfId="1"/>
    <xf numFmtId="49" fontId="7" fillId="0" borderId="6" applyAlignment="1" pivotButton="0" quotePrefix="1" xfId="1">
      <alignment horizontal="left" vertical="top"/>
    </xf>
    <xf numFmtId="49" fontId="7" fillId="0" borderId="0" applyAlignment="1" pivotButton="0" quotePrefix="1" xfId="1">
      <alignment horizontal="left" vertical="top"/>
    </xf>
    <xf numFmtId="0" fontId="5" fillId="0" borderId="1" applyAlignment="1" pivotButton="0" quotePrefix="0" xfId="3">
      <alignment horizontal="centerContinuous" vertical="top"/>
    </xf>
    <xf numFmtId="49" fontId="5" fillId="0" borderId="0" applyAlignment="1" pivotButton="0" quotePrefix="0" xfId="1">
      <alignment vertical="top"/>
    </xf>
    <xf numFmtId="49" fontId="5" fillId="0" borderId="0" applyAlignment="1" pivotButton="0" quotePrefix="0" xfId="1">
      <alignment horizontal="left" vertical="top"/>
    </xf>
    <xf numFmtId="49" fontId="7" fillId="0" borderId="0" applyAlignment="1" pivotButton="0" quotePrefix="0" xfId="1">
      <alignment horizontal="left"/>
    </xf>
    <xf numFmtId="49" fontId="5" fillId="0" borderId="6" applyAlignment="1" pivotButton="0" quotePrefix="0" xfId="1">
      <alignment horizontal="left"/>
    </xf>
    <xf numFmtId="49" fontId="8" fillId="0" borderId="6" pivotButton="0" quotePrefix="0" xfId="1"/>
    <xf numFmtId="49" fontId="6" fillId="0" borderId="0" applyAlignment="1" pivotButton="0" quotePrefix="0" xfId="1">
      <alignment vertical="center"/>
    </xf>
    <xf numFmtId="49" fontId="6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7" fillId="0" borderId="0" pivotButton="0" quotePrefix="0" xfId="0"/>
    <xf numFmtId="166" fontId="14" fillId="0" borderId="0" pivotButton="0" quotePrefix="0" xfId="1"/>
    <xf numFmtId="49" fontId="6" fillId="0" borderId="0" pivotButton="0" quotePrefix="0" xfId="1"/>
    <xf numFmtId="49" fontId="8" fillId="0" borderId="0" pivotButton="0" quotePrefix="0" xfId="1"/>
    <xf numFmtId="49" fontId="8" fillId="0" borderId="0" applyAlignment="1" pivotButton="0" quotePrefix="0" xfId="1">
      <alignment vertical="center"/>
    </xf>
    <xf numFmtId="49" fontId="8" fillId="0" borderId="0" applyAlignment="1" pivotButton="0" quotePrefix="0" xfId="1">
      <alignment vertical="top"/>
    </xf>
    <xf numFmtId="49" fontId="6" fillId="0" borderId="0" pivotButton="0" quotePrefix="0" xfId="1"/>
    <xf numFmtId="49" fontId="6" fillId="0" borderId="0" applyAlignment="1" pivotButton="0" quotePrefix="0" xfId="1">
      <alignment vertical="top"/>
    </xf>
    <xf numFmtId="171" fontId="6" fillId="0" borderId="0" pivotButton="0" quotePrefix="0" xfId="1"/>
    <xf numFmtId="171" fontId="8" fillId="0" borderId="0" pivotButton="0" quotePrefix="0" xfId="1"/>
    <xf numFmtId="171" fontId="8" fillId="0" borderId="6" pivotButton="0" quotePrefix="0" xfId="1"/>
    <xf numFmtId="171" fontId="8" fillId="0" borderId="1" applyAlignment="1" pivotButton="0" quotePrefix="0" xfId="1">
      <alignment horizontal="center"/>
    </xf>
    <xf numFmtId="171" fontId="8" fillId="0" borderId="0" applyAlignment="1" pivotButton="0" quotePrefix="0" xfId="1">
      <alignment horizontal="center"/>
    </xf>
    <xf numFmtId="171" fontId="8" fillId="0" borderId="0" pivotButton="0" quotePrefix="0" xfId="1"/>
    <xf numFmtId="171" fontId="6" fillId="0" borderId="0" pivotButton="0" quotePrefix="0" xfId="1"/>
    <xf numFmtId="171" fontId="8" fillId="0" borderId="7" pivotButton="0" quotePrefix="0" xfId="1"/>
    <xf numFmtId="171" fontId="5" fillId="0" borderId="6" pivotButton="0" quotePrefix="0" xfId="1"/>
    <xf numFmtId="171" fontId="5" fillId="0" borderId="0" applyAlignment="1" pivotButton="0" quotePrefix="0" xfId="1">
      <alignment vertical="top"/>
    </xf>
    <xf numFmtId="171" fontId="8" fillId="0" borderId="0" applyAlignment="1" pivotButton="0" quotePrefix="0" xfId="1">
      <alignment horizontal="left"/>
    </xf>
    <xf numFmtId="171" fontId="7" fillId="0" borderId="0" applyAlignment="1" pivotButton="0" quotePrefix="0" xfId="1">
      <alignment vertical="top"/>
    </xf>
    <xf numFmtId="171" fontId="6" fillId="0" borderId="0" applyAlignment="1" pivotButton="0" quotePrefix="0" xfId="1">
      <alignment horizontal="left"/>
    </xf>
    <xf numFmtId="171" fontId="5" fillId="0" borderId="7" applyAlignment="1" pivotButton="0" quotePrefix="0" xfId="1">
      <alignment horizontal="center"/>
    </xf>
    <xf numFmtId="171" fontId="5" fillId="0" borderId="0" applyAlignment="1" pivotButton="0" quotePrefix="0" xfId="1">
      <alignment horizontal="center"/>
    </xf>
    <xf numFmtId="171" fontId="8" fillId="0" borderId="0" applyAlignment="1" pivotButton="0" quotePrefix="0" xfId="1">
      <alignment horizontal="right" vertical="top"/>
    </xf>
    <xf numFmtId="171" fontId="8" fillId="0" borderId="0" applyAlignment="1" pivotButton="0" quotePrefix="0" xfId="1">
      <alignment horizontal="right" vertical="center"/>
    </xf>
    <xf numFmtId="171" fontId="8" fillId="0" borderId="6" applyAlignment="1" pivotButton="0" quotePrefix="0" xfId="1">
      <alignment vertical="center"/>
    </xf>
    <xf numFmtId="171" fontId="6" fillId="0" borderId="0" pivotButton="0" quotePrefix="0" xfId="1"/>
    <xf numFmtId="171" fontId="8" fillId="0" borderId="7" applyAlignment="1" pivotButton="0" quotePrefix="0" xfId="1">
      <alignment horizontal="right" vertical="center"/>
    </xf>
    <xf numFmtId="171" fontId="6" fillId="0" borderId="0" applyAlignment="1" pivotButton="0" quotePrefix="0" xfId="1">
      <alignment horizontal="center"/>
    </xf>
    <xf numFmtId="171" fontId="7" fillId="0" borderId="0" pivotButton="0" quotePrefix="0" xfId="1"/>
    <xf numFmtId="171" fontId="8" fillId="0" borderId="6" applyAlignment="1" pivotButton="0" quotePrefix="0" xfId="1">
      <alignment vertical="top"/>
    </xf>
    <xf numFmtId="171" fontId="8" fillId="0" borderId="7" applyAlignment="1" pivotButton="0" quotePrefix="0" xfId="1">
      <alignment horizontal="right"/>
    </xf>
    <xf numFmtId="171" fontId="7" fillId="0" borderId="0" pivotButton="0" quotePrefix="0" xfId="1"/>
    <xf numFmtId="171" fontId="8" fillId="0" borderId="7" pivotButton="0" quotePrefix="0" xfId="1"/>
    <xf numFmtId="171" fontId="8" fillId="0" borderId="3" pivotButton="0" quotePrefix="0" xfId="1"/>
    <xf numFmtId="171" fontId="7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right" vertical="top"/>
    </xf>
    <xf numFmtId="49" fontId="7" fillId="0" borderId="0" applyAlignment="1" pivotButton="0" quotePrefix="0" xfId="1">
      <alignment horizontal="left" vertical="center"/>
    </xf>
    <xf numFmtId="164" fontId="7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/>
    </xf>
    <xf numFmtId="49" fontId="5" fillId="4" borderId="6" applyAlignment="1" pivotButton="0" quotePrefix="1" xfId="1">
      <alignment horizontal="left" vertical="top"/>
    </xf>
    <xf numFmtId="49" fontId="5" fillId="4" borderId="6" applyAlignment="1" pivotButton="0" quotePrefix="0" xfId="3">
      <alignment horizontal="left" vertical="top"/>
    </xf>
    <xf numFmtId="49" fontId="5" fillId="4" borderId="3" applyAlignment="1" pivotButton="0" quotePrefix="0" xfId="3">
      <alignment horizontal="left" vertical="top"/>
    </xf>
    <xf numFmtId="49" fontId="5" fillId="4" borderId="3" applyAlignment="1" pivotButton="0" quotePrefix="0" xfId="1">
      <alignment vertical="top"/>
    </xf>
    <xf numFmtId="164" fontId="5" fillId="4" borderId="3" pivotButton="0" quotePrefix="0" xfId="1"/>
    <xf numFmtId="0" fontId="8" fillId="4" borderId="7" pivotButton="0" quotePrefix="0" xfId="0"/>
    <xf numFmtId="0" fontId="8" fillId="4" borderId="7" applyAlignment="1" pivotButton="0" quotePrefix="0" xfId="1">
      <alignment horizontal="left"/>
    </xf>
    <xf numFmtId="0" fontId="8" fillId="4" borderId="6" pivotButton="0" quotePrefix="0" xfId="0"/>
    <xf numFmtId="0" fontId="8" fillId="4" borderId="8" pivotButton="0" quotePrefix="0" xfId="0"/>
    <xf numFmtId="9" fontId="6" fillId="0" borderId="0" pivotButton="0" quotePrefix="0" xfId="1"/>
    <xf numFmtId="167" fontId="11" fillId="0" borderId="0" pivotButton="0" quotePrefix="0" xfId="1"/>
    <xf numFmtId="164" fontId="17" fillId="0" borderId="0" applyAlignment="1" pivotButton="0" quotePrefix="0" xfId="1">
      <alignment horizontal="left"/>
    </xf>
    <xf numFmtId="168" fontId="6" fillId="0" borderId="0" pivotButton="0" quotePrefix="0" xfId="0"/>
    <xf numFmtId="0" fontId="6" fillId="0" borderId="0" applyAlignment="1" pivotButton="0" quotePrefix="0" xfId="0">
      <alignment horizontal="right"/>
    </xf>
    <xf numFmtId="49" fontId="19" fillId="0" borderId="0" applyAlignment="1" pivotButton="0" quotePrefix="1" xfId="1">
      <alignment horizontal="left" vertical="top"/>
    </xf>
    <xf numFmtId="49" fontId="8" fillId="0" borderId="6" pivotButton="0" quotePrefix="0" xfId="1"/>
    <xf numFmtId="49" fontId="8" fillId="0" borderId="1" pivotButton="0" quotePrefix="0" xfId="1"/>
    <xf numFmtId="49" fontId="8" fillId="0" borderId="0" pivotButton="0" quotePrefix="0" xfId="1"/>
    <xf numFmtId="49" fontId="8" fillId="0" borderId="7" pivotButton="0" quotePrefix="0" xfId="1"/>
    <xf numFmtId="49" fontId="5" fillId="0" borderId="6" pivotButton="0" quotePrefix="0" xfId="1"/>
    <xf numFmtId="49" fontId="7" fillId="0" borderId="0" applyAlignment="1" pivotButton="0" quotePrefix="0" xfId="1">
      <alignment vertical="top"/>
    </xf>
    <xf numFmtId="49" fontId="7" fillId="0" borderId="0" applyAlignment="1" pivotButton="0" quotePrefix="0" xfId="1">
      <alignment horizontal="left" vertical="top" indent="1"/>
    </xf>
    <xf numFmtId="49" fontId="8" fillId="0" borderId="7" applyAlignment="1" pivotButton="0" quotePrefix="0" xfId="1">
      <alignment vertical="center"/>
    </xf>
    <xf numFmtId="49" fontId="8" fillId="0" borderId="6" applyAlignment="1" pivotButton="0" quotePrefix="0" xfId="1">
      <alignment vertical="center"/>
    </xf>
    <xf numFmtId="49" fontId="7" fillId="0" borderId="0" applyAlignment="1" pivotButton="0" quotePrefix="0" xfId="1">
      <alignment horizontal="left"/>
    </xf>
    <xf numFmtId="49" fontId="8" fillId="0" borderId="7" applyAlignment="1" pivotButton="0" quotePrefix="0" xfId="1">
      <alignment vertical="top"/>
    </xf>
    <xf numFmtId="49" fontId="6" fillId="0" borderId="6" applyAlignment="1" pivotButton="0" quotePrefix="0" xfId="1">
      <alignment vertical="center"/>
    </xf>
    <xf numFmtId="49" fontId="6" fillId="0" borderId="1" applyAlignment="1" pivotButton="0" quotePrefix="0" xfId="1">
      <alignment vertical="center"/>
    </xf>
    <xf numFmtId="49" fontId="8" fillId="0" borderId="1" applyAlignment="1" pivotButton="0" quotePrefix="0" xfId="1">
      <alignment vertical="top"/>
    </xf>
    <xf numFmtId="49" fontId="6" fillId="0" borderId="0" applyAlignment="1" pivotButton="0" quotePrefix="0" xfId="1">
      <alignment vertical="center"/>
    </xf>
    <xf numFmtId="49" fontId="7" fillId="0" borderId="0" applyAlignment="1" pivotButton="0" quotePrefix="0" xfId="1">
      <alignment horizontal="left" indent="1"/>
    </xf>
    <xf numFmtId="49" fontId="7" fillId="0" borderId="6" applyAlignment="1" pivotButton="0" quotePrefix="0" xfId="1">
      <alignment vertical="top"/>
    </xf>
    <xf numFmtId="49" fontId="8" fillId="0" borderId="6" applyAlignment="1" pivotButton="0" quotePrefix="0" xfId="1">
      <alignment vertical="top"/>
    </xf>
    <xf numFmtId="49" fontId="8" fillId="0" borderId="1" pivotButton="0" quotePrefix="0" xfId="1"/>
    <xf numFmtId="49" fontId="8" fillId="0" borderId="7" pivotButton="0" quotePrefix="0" xfId="1"/>
    <xf numFmtId="49" fontId="7" fillId="0" borderId="0" applyAlignment="1" pivotButton="0" quotePrefix="0" xfId="1">
      <alignment vertical="top" wrapText="1"/>
    </xf>
    <xf numFmtId="49" fontId="8" fillId="0" borderId="3" pivotButton="0" quotePrefix="0" xfId="1"/>
    <xf numFmtId="49" fontId="6" fillId="0" borderId="0" applyAlignment="1" pivotButton="0" quotePrefix="0" xfId="1">
      <alignment horizontal="left" vertical="top" indent="1"/>
    </xf>
    <xf numFmtId="49" fontId="5" fillId="0" borderId="0" applyAlignment="1" pivotButton="0" quotePrefix="0" xfId="1">
      <alignment vertical="top"/>
    </xf>
    <xf numFmtId="49" fontId="6" fillId="0" borderId="6" applyAlignment="1" pivotButton="0" quotePrefix="0" xfId="1">
      <alignment vertical="top"/>
    </xf>
    <xf numFmtId="49" fontId="7" fillId="0" borderId="0" applyAlignment="1" pivotButton="0" quotePrefix="0" xfId="1">
      <alignment horizontal="left" vertical="top" indent="2"/>
    </xf>
    <xf numFmtId="0" fontId="13" fillId="3" borderId="1" applyAlignment="1" pivotButton="0" quotePrefix="0" xfId="1">
      <alignment horizontal="left" vertical="center" wrapText="1"/>
    </xf>
    <xf numFmtId="165" fontId="13" fillId="3" borderId="1" applyAlignment="1" pivotButton="0" quotePrefix="0" xfId="1">
      <alignment horizontal="center" vertical="center" wrapText="1"/>
    </xf>
    <xf numFmtId="0" fontId="8" fillId="4" borderId="3" pivotButton="0" quotePrefix="0" xfId="0"/>
    <xf numFmtId="169" fontId="8" fillId="4" borderId="3" pivotButton="0" quotePrefix="0" xfId="1"/>
    <xf numFmtId="166" fontId="5" fillId="0" borderId="0" applyAlignment="1" pivotButton="0" quotePrefix="0" xfId="4">
      <alignment horizontal="left"/>
    </xf>
    <xf numFmtId="166" fontId="5" fillId="0" borderId="0" applyAlignment="1" pivotButton="0" quotePrefix="0" xfId="4">
      <alignment vertical="top"/>
    </xf>
    <xf numFmtId="49" fontId="5" fillId="0" borderId="0" applyAlignment="1" pivotButton="0" quotePrefix="0" xfId="1">
      <alignment vertical="top"/>
    </xf>
    <xf numFmtId="0" fontId="13" fillId="3" borderId="1" applyAlignment="1" pivotButton="0" quotePrefix="0" xfId="0">
      <alignment horizontal="left" vertical="center"/>
    </xf>
    <xf numFmtId="170" fontId="13" fillId="3" borderId="1" applyAlignment="1" pivotButton="0" quotePrefix="0" xfId="1">
      <alignment horizontal="center"/>
    </xf>
    <xf numFmtId="49" fontId="13" fillId="3" borderId="0" applyAlignment="1" pivotButton="0" quotePrefix="0" xfId="1">
      <alignment horizontal="left" vertical="top"/>
    </xf>
    <xf numFmtId="164" fontId="13" fillId="3" borderId="0" applyAlignment="1" pivotButton="0" quotePrefix="1" xfId="1">
      <alignment horizontal="center"/>
    </xf>
    <xf numFmtId="172" fontId="6" fillId="0" borderId="0" pivotButton="0" quotePrefix="0" xfId="1"/>
    <xf numFmtId="172" fontId="8" fillId="0" borderId="6" applyAlignment="1" pivotButton="0" quotePrefix="0" xfId="1">
      <alignment horizontal="right"/>
    </xf>
    <xf numFmtId="172" fontId="6" fillId="0" borderId="0" pivotButton="0" quotePrefix="0" xfId="1"/>
    <xf numFmtId="172" fontId="8" fillId="4" borderId="7" applyAlignment="1" pivotButton="0" quotePrefix="0" xfId="1">
      <alignment horizontal="right"/>
    </xf>
    <xf numFmtId="172" fontId="6" fillId="0" borderId="0" applyAlignment="1" pivotButton="0" quotePrefix="0" xfId="1">
      <alignment horizontal="right"/>
    </xf>
    <xf numFmtId="172" fontId="8" fillId="4" borderId="0" applyAlignment="1" pivotButton="0" quotePrefix="0" xfId="1">
      <alignment horizontal="right"/>
    </xf>
    <xf numFmtId="172" fontId="8" fillId="4" borderId="8" applyAlignment="1" pivotButton="0" quotePrefix="0" xfId="1">
      <alignment horizontal="right"/>
    </xf>
    <xf numFmtId="49" fontId="7" fillId="0" borderId="0" applyAlignment="1" pivotButton="0" quotePrefix="0" xfId="1">
      <alignment horizontal="left"/>
    </xf>
    <xf numFmtId="49" fontId="6" fillId="0" borderId="0" applyAlignment="1" pivotButton="0" quotePrefix="0" xfId="1">
      <alignment vertical="center"/>
    </xf>
    <xf numFmtId="49" fontId="20" fillId="0" borderId="6" applyAlignment="1" pivotButton="0" quotePrefix="0" xfId="1">
      <alignment horizontal="left"/>
    </xf>
    <xf numFmtId="164" fontId="20" fillId="0" borderId="6" applyAlignment="1" pivotButton="0" quotePrefix="0" xfId="1">
      <alignment horizontal="left"/>
    </xf>
    <xf numFmtId="49" fontId="21" fillId="0" borderId="7" pivotButton="0" quotePrefix="0" xfId="1"/>
    <xf numFmtId="164" fontId="21" fillId="0" borderId="7" pivotButton="0" quotePrefix="0" xfId="1"/>
    <xf numFmtId="49" fontId="8" fillId="0" borderId="0" pivotButton="0" quotePrefix="0" xfId="1"/>
    <xf numFmtId="49" fontId="6" fillId="0" borderId="0" applyAlignment="1" pivotButton="0" quotePrefix="0" xfId="1">
      <alignment horizontal="left" vertical="center"/>
    </xf>
    <xf numFmtId="171" fontId="6" fillId="0" borderId="0" applyAlignment="1" pivotButton="0" quotePrefix="0" xfId="1">
      <alignment horizontal="left" vertical="center"/>
    </xf>
    <xf numFmtId="49" fontId="6" fillId="0" borderId="1" applyAlignment="1" pivotButton="0" quotePrefix="0" xfId="1">
      <alignment horizontal="left" vertical="center"/>
    </xf>
    <xf numFmtId="171" fontId="6" fillId="0" borderId="0" applyAlignment="1" pivotButton="0" quotePrefix="0" xfId="1">
      <alignment horizontal="left" vertical="center"/>
    </xf>
    <xf numFmtId="171" fontId="6" fillId="0" borderId="0" applyAlignment="1" pivotButton="0" quotePrefix="0" xfId="1">
      <alignment horizontal="center" vertical="center"/>
    </xf>
    <xf numFmtId="49" fontId="22" fillId="0" borderId="6" applyAlignment="1" pivotButton="0" quotePrefix="0" xfId="1">
      <alignment vertical="top"/>
    </xf>
    <xf numFmtId="49" fontId="22" fillId="0" borderId="0" applyAlignment="1" pivotButton="0" quotePrefix="0" xfId="1">
      <alignment vertical="top"/>
    </xf>
    <xf numFmtId="49" fontId="6" fillId="0" borderId="0" applyAlignment="1" pivotButton="0" quotePrefix="0" xfId="1">
      <alignment horizontal="left" vertical="top"/>
    </xf>
    <xf numFmtId="49" fontId="23" fillId="0" borderId="0" applyAlignment="1" pivotButton="0" quotePrefix="0" xfId="3">
      <alignment horizontal="left" vertical="top"/>
    </xf>
    <xf numFmtId="171" fontId="8" fillId="0" borderId="0" applyAlignment="1" pivotButton="0" quotePrefix="0" xfId="1">
      <alignment horizontal="right"/>
    </xf>
    <xf numFmtId="164" fontId="7" fillId="0" borderId="4" applyAlignment="1" pivotButton="0" quotePrefix="0" xfId="1">
      <alignment horizontal="left" vertical="top" wrapText="1"/>
    </xf>
    <xf numFmtId="164" fontId="7" fillId="0" borderId="0" applyAlignment="1" pivotButton="0" quotePrefix="0" xfId="1">
      <alignment horizontal="left" vertical="top"/>
    </xf>
    <xf numFmtId="9" fontId="5" fillId="0" borderId="0" applyAlignment="1" pivotButton="0" quotePrefix="0" xfId="3">
      <alignment horizontal="centerContinuous" vertical="top"/>
    </xf>
    <xf numFmtId="9" fontId="5" fillId="0" borderId="4" applyAlignment="1" pivotButton="0" quotePrefix="0" xfId="3">
      <alignment horizontal="centerContinuous" vertical="top"/>
    </xf>
    <xf numFmtId="0" fontId="6" fillId="0" borderId="0" applyAlignment="1" pivotButton="0" quotePrefix="0" xfId="0">
      <alignment vertical="top"/>
    </xf>
    <xf numFmtId="164" fontId="6" fillId="0" borderId="0" applyAlignment="1" pivotButton="0" quotePrefix="0" xfId="1">
      <alignment vertical="top"/>
    </xf>
    <xf numFmtId="164" fontId="5" fillId="0" borderId="0" applyAlignment="1" pivotButton="0" quotePrefix="0" xfId="1">
      <alignment horizontal="left" vertical="top"/>
    </xf>
    <xf numFmtId="164" fontId="5" fillId="0" borderId="0" applyAlignment="1" pivotButton="0" quotePrefix="0" xfId="1">
      <alignment horizontal="left" vertical="top"/>
    </xf>
    <xf numFmtId="9" fontId="6" fillId="0" borderId="0" applyAlignment="1" pivotButton="0" quotePrefix="0" xfId="1">
      <alignment vertical="top"/>
    </xf>
    <xf numFmtId="9" fontId="6" fillId="0" borderId="0" applyAlignment="1" pivotButton="0" quotePrefix="0" xfId="1">
      <alignment vertical="top"/>
    </xf>
    <xf numFmtId="0" fontId="8" fillId="0" borderId="10" applyAlignment="1" pivotButton="0" quotePrefix="0" xfId="0">
      <alignment vertical="top"/>
    </xf>
    <xf numFmtId="9" fontId="8" fillId="0" borderId="0" applyAlignment="1" pivotButton="0" quotePrefix="0" xfId="1">
      <alignment horizontal="centerContinuous" vertical="top"/>
    </xf>
    <xf numFmtId="9" fontId="6" fillId="0" borderId="0" applyAlignment="1" pivotButton="0" quotePrefix="0" xfId="0">
      <alignment horizontal="centerContinuous" vertical="top"/>
    </xf>
    <xf numFmtId="165" fontId="8" fillId="0" borderId="0" applyAlignment="1" pivotButton="0" quotePrefix="0" xfId="1">
      <alignment horizontal="centerContinuous" vertical="top"/>
    </xf>
    <xf numFmtId="0" fontId="8" fillId="0" borderId="0" applyAlignment="1" pivotButton="0" quotePrefix="0" xfId="0">
      <alignment horizontal="centerContinuous" vertical="top"/>
    </xf>
    <xf numFmtId="49" fontId="13" fillId="3" borderId="7" applyAlignment="1" pivotButton="0" quotePrefix="0" xfId="3">
      <alignment vertical="top"/>
    </xf>
    <xf numFmtId="164" fontId="13" fillId="3" borderId="0" applyAlignment="1" pivotButton="0" quotePrefix="1" xfId="1">
      <alignment horizontal="right" vertical="top"/>
    </xf>
    <xf numFmtId="164" fontId="13" fillId="3" borderId="4" applyAlignment="1" pivotButton="0" quotePrefix="1" xfId="1">
      <alignment horizontal="right" vertical="top"/>
    </xf>
    <xf numFmtId="9" fontId="13" fillId="3" borderId="0" applyAlignment="1" pivotButton="0" quotePrefix="0" xfId="1">
      <alignment horizontal="center" vertical="top"/>
    </xf>
    <xf numFmtId="9" fontId="13" fillId="3" borderId="6" applyAlignment="1" pivotButton="0" quotePrefix="0" xfId="1">
      <alignment horizontal="center" vertical="top"/>
    </xf>
    <xf numFmtId="9" fontId="13" fillId="3" borderId="4" applyAlignment="1" pivotButton="0" quotePrefix="0" xfId="1">
      <alignment horizontal="center" vertical="top"/>
    </xf>
    <xf numFmtId="165" fontId="13" fillId="3" borderId="6" applyAlignment="1" pivotButton="0" quotePrefix="0" xfId="3">
      <alignment horizontal="center" vertical="top"/>
    </xf>
    <xf numFmtId="165" fontId="6" fillId="0" borderId="0" applyAlignment="1" pivotButton="0" quotePrefix="0" xfId="1">
      <alignment vertical="top"/>
    </xf>
    <xf numFmtId="173" fontId="6" fillId="0" borderId="0" applyAlignment="1" pivotButton="0" quotePrefix="0" xfId="1">
      <alignment vertical="top"/>
    </xf>
    <xf numFmtId="0" fontId="14" fillId="0" borderId="11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1" applyAlignment="1" pivotButton="0" quotePrefix="0" xfId="1">
      <alignment horizontal="right" vertical="top"/>
    </xf>
    <xf numFmtId="164" fontId="6" fillId="0" borderId="2" applyAlignment="1" pivotButton="0" quotePrefix="0" xfId="1">
      <alignment horizontal="right" vertical="top"/>
    </xf>
    <xf numFmtId="9" fontId="6" fillId="0" borderId="0" applyAlignment="1" pivotButton="0" quotePrefix="0" xfId="2">
      <alignment horizontal="right" vertical="top"/>
    </xf>
    <xf numFmtId="9" fontId="6" fillId="0" borderId="2" applyAlignment="1" pivotButton="0" quotePrefix="0" xfId="2">
      <alignment horizontal="right" vertical="top"/>
    </xf>
    <xf numFmtId="165" fontId="6" fillId="0" borderId="0" applyAlignment="1" pivotButton="0" quotePrefix="0" xfId="1">
      <alignment horizontal="right" vertical="top"/>
    </xf>
    <xf numFmtId="164" fontId="5" fillId="4" borderId="6" applyAlignment="1" pivotButton="0" quotePrefix="1" xfId="1">
      <alignment horizontal="right" vertical="top"/>
    </xf>
    <xf numFmtId="164" fontId="5" fillId="4" borderId="5" applyAlignment="1" pivotButton="0" quotePrefix="1" xfId="1">
      <alignment horizontal="right" vertical="top"/>
    </xf>
    <xf numFmtId="9" fontId="8" fillId="4" borderId="6" applyAlignment="1" pivotButton="0" quotePrefix="0" xfId="2">
      <alignment horizontal="right" vertical="top"/>
    </xf>
    <xf numFmtId="9" fontId="8" fillId="4" borderId="5" applyAlignment="1" pivotButton="0" quotePrefix="0" xfId="2">
      <alignment horizontal="right" vertical="top"/>
    </xf>
    <xf numFmtId="165" fontId="6" fillId="0" borderId="0" applyAlignment="1" pivotButton="0" quotePrefix="0" xfId="1">
      <alignment vertical="top"/>
    </xf>
    <xf numFmtId="0" fontId="14" fillId="0" borderId="12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9" fontId="18" fillId="0" borderId="0" applyAlignment="1" pivotButton="0" quotePrefix="0" xfId="2">
      <alignment horizontal="right" vertical="top"/>
    </xf>
    <xf numFmtId="9" fontId="18" fillId="0" borderId="4" applyAlignment="1" pivotButton="0" quotePrefix="0" xfId="2">
      <alignment horizontal="right" vertical="top"/>
    </xf>
    <xf numFmtId="165" fontId="18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4" applyAlignment="1" pivotButton="0" quotePrefix="0" xfId="1">
      <alignment horizontal="right" vertical="top"/>
    </xf>
    <xf numFmtId="9" fontId="6" fillId="0" borderId="4" applyAlignment="1" pivotButton="0" quotePrefix="0" xfId="2">
      <alignment horizontal="right" vertical="top"/>
    </xf>
    <xf numFmtId="49" fontId="8" fillId="4" borderId="6" applyAlignment="1" pivotButton="0" quotePrefix="0" xfId="0">
      <alignment vertical="top"/>
    </xf>
    <xf numFmtId="164" fontId="8" fillId="4" borderId="6" applyAlignment="1" pivotButton="0" quotePrefix="0" xfId="1">
      <alignment horizontal="right" vertical="top"/>
    </xf>
    <xf numFmtId="164" fontId="8" fillId="4" borderId="5" applyAlignment="1" pivotButton="0" quotePrefix="0" xfId="1">
      <alignment horizontal="right" vertical="top"/>
    </xf>
    <xf numFmtId="174" fontId="6" fillId="0" borderId="0" applyAlignment="1" pivotButton="0" quotePrefix="0" xfId="0">
      <alignment vertical="top"/>
    </xf>
    <xf numFmtId="9" fontId="6" fillId="0" borderId="0" applyAlignment="1" pivotButton="0" quotePrefix="0" xfId="2">
      <alignment horizontal="right" vertical="top"/>
    </xf>
    <xf numFmtId="9" fontId="6" fillId="0" borderId="4" applyAlignment="1" pivotButton="0" quotePrefix="0" xfId="2">
      <alignment horizontal="right" vertical="top"/>
    </xf>
    <xf numFmtId="175" fontId="6" fillId="0" borderId="0" applyAlignment="1" pivotButton="0" quotePrefix="0" xfId="0">
      <alignment vertical="top"/>
    </xf>
    <xf numFmtId="164" fontId="5" fillId="4" borderId="6" applyAlignment="1" pivotButton="0" quotePrefix="0" xfId="1">
      <alignment horizontal="right" vertical="top"/>
    </xf>
    <xf numFmtId="164" fontId="5" fillId="4" borderId="5" applyAlignment="1" pivotButton="0" quotePrefix="0" xfId="1">
      <alignment horizontal="right" vertical="top"/>
    </xf>
    <xf numFmtId="9" fontId="6" fillId="0" borderId="1" applyAlignment="1" pivotButton="0" quotePrefix="0" xfId="2">
      <alignment horizontal="right" vertical="top"/>
    </xf>
    <xf numFmtId="165" fontId="6" fillId="0" borderId="0" applyAlignment="1" pivotButton="0" quotePrefix="0" xfId="1">
      <alignment vertical="top"/>
    </xf>
    <xf numFmtId="164" fontId="7" fillId="0" borderId="2" applyAlignment="1" pivotButton="0" quotePrefix="0" xfId="1">
      <alignment horizontal="right" vertical="top"/>
    </xf>
    <xf numFmtId="164" fontId="5" fillId="4" borderId="3" applyAlignment="1" pivotButton="0" quotePrefix="0" xfId="1">
      <alignment horizontal="right" vertical="top"/>
    </xf>
    <xf numFmtId="164" fontId="5" fillId="4" borderId="9" applyAlignment="1" pivotButton="0" quotePrefix="0" xfId="1">
      <alignment horizontal="right" vertical="top"/>
    </xf>
    <xf numFmtId="9" fontId="8" fillId="4" borderId="3" applyAlignment="1" pivotButton="0" quotePrefix="0" xfId="2">
      <alignment horizontal="right" vertical="top"/>
    </xf>
    <xf numFmtId="9" fontId="8" fillId="4" borderId="9" applyAlignment="1" pivotButton="0" quotePrefix="0" xfId="2">
      <alignment horizontal="right" vertical="top"/>
    </xf>
    <xf numFmtId="0" fontId="11" fillId="0" borderId="0" applyAlignment="1" pivotButton="0" quotePrefix="0" xfId="0">
      <alignment vertical="top"/>
    </xf>
    <xf numFmtId="164" fontId="11" fillId="0" borderId="0" applyAlignment="1" pivotButton="0" quotePrefix="0" xfId="1">
      <alignment vertical="top"/>
    </xf>
    <xf numFmtId="164" fontId="11" fillId="0" borderId="0" applyAlignment="1" pivotButton="0" quotePrefix="0" xfId="1">
      <alignment vertical="top"/>
    </xf>
    <xf numFmtId="9" fontId="11" fillId="0" borderId="0" applyAlignment="1" pivotButton="0" quotePrefix="0" xfId="0">
      <alignment vertical="top"/>
    </xf>
    <xf numFmtId="9" fontId="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/>
    </xf>
    <xf numFmtId="164" fontId="16" fillId="0" borderId="0" applyAlignment="1" pivotButton="0" quotePrefix="0" xfId="1">
      <alignment vertical="top"/>
    </xf>
    <xf numFmtId="164" fontId="6" fillId="0" borderId="0" applyAlignment="1" pivotButton="0" quotePrefix="0" xfId="1">
      <alignment vertical="top"/>
    </xf>
    <xf numFmtId="9" fontId="18" fillId="0" borderId="13" applyAlignment="1" pivotButton="0" quotePrefix="0" xfId="2">
      <alignment horizontal="right" vertical="top"/>
    </xf>
    <xf numFmtId="49" fontId="7" fillId="0" borderId="0" applyAlignment="1" pivotButton="0" quotePrefix="1" xfId="1">
      <alignment horizontal="left" vertical="top" indent="1"/>
    </xf>
    <xf numFmtId="164" fontId="7" fillId="0" borderId="1" applyAlignment="1" pivotButton="0" quotePrefix="0" xfId="1">
      <alignment horizontal="right" vertical="top"/>
    </xf>
    <xf numFmtId="49" fontId="2" fillId="0" borderId="0" applyAlignment="1" pivotButton="0" quotePrefix="0" xfId="1">
      <alignment horizontal="left" indent="1"/>
    </xf>
    <xf numFmtId="49" fontId="2" fillId="0" borderId="0" applyAlignment="1" pivotButton="0" quotePrefix="0" xfId="1">
      <alignment vertical="top"/>
    </xf>
    <xf numFmtId="49" fontId="1" fillId="0" borderId="0" applyAlignment="1" pivotButton="0" quotePrefix="0" xfId="1">
      <alignment horizontal="left" vertical="top" indent="1"/>
    </xf>
    <xf numFmtId="165" fontId="24" fillId="0" borderId="0" pivotButton="0" quotePrefix="0" xfId="1"/>
    <xf numFmtId="165" fontId="24" fillId="0" borderId="0" applyAlignment="1" pivotButton="0" quotePrefix="0" xfId="1">
      <alignment horizontal="right"/>
    </xf>
    <xf numFmtId="49" fontId="25" fillId="0" borderId="6" pivotButton="0" quotePrefix="0" xfId="1"/>
    <xf numFmtId="171" fontId="24" fillId="0" borderId="6" pivotButton="0" quotePrefix="0" xfId="1"/>
    <xf numFmtId="171" fontId="24" fillId="0" borderId="0" applyAlignment="1" pivotButton="0" quotePrefix="0" xfId="1">
      <alignment horizontal="center"/>
    </xf>
    <xf numFmtId="49" fontId="25" fillId="0" borderId="0" applyAlignment="1" pivotButton="0" quotePrefix="0" xfId="1">
      <alignment horizontal="left"/>
    </xf>
    <xf numFmtId="171" fontId="24" fillId="0" borderId="0" pivotButton="0" quotePrefix="0" xfId="1"/>
    <xf numFmtId="171" fontId="24" fillId="0" borderId="0" pivotButton="0" quotePrefix="0" xfId="1"/>
    <xf numFmtId="49" fontId="26" fillId="0" borderId="0" applyAlignment="1" pivotButton="0" quotePrefix="0" xfId="1">
      <alignment horizontal="left" vertical="top"/>
    </xf>
    <xf numFmtId="9" fontId="24" fillId="0" borderId="0" pivotButton="0" quotePrefix="0" xfId="1"/>
    <xf numFmtId="9" fontId="6" fillId="0" borderId="0" pivotButton="0" quotePrefix="0" xfId="2"/>
    <xf numFmtId="9" fontId="7" fillId="0" borderId="0" applyAlignment="1" pivotButton="0" quotePrefix="0" xfId="2">
      <alignment vertical="top"/>
    </xf>
    <xf numFmtId="9" fontId="24" fillId="0" borderId="0" applyAlignment="1" pivotButton="0" quotePrefix="0" xfId="2">
      <alignment horizontal="centerContinuous"/>
    </xf>
    <xf numFmtId="9" fontId="6" fillId="0" borderId="0" applyAlignment="1" pivotButton="0" quotePrefix="0" xfId="2">
      <alignment horizontal="centerContinuous"/>
    </xf>
    <xf numFmtId="9" fontId="8" fillId="0" borderId="1" applyAlignment="1" pivotButton="0" quotePrefix="0" xfId="2">
      <alignment horizontal="center"/>
    </xf>
    <xf numFmtId="9" fontId="24" fillId="0" borderId="0" pivotButton="0" quotePrefix="0" xfId="2"/>
    <xf numFmtId="9" fontId="8" fillId="0" borderId="7" pivotButton="0" quotePrefix="0" xfId="2"/>
    <xf numFmtId="164" fontId="6" fillId="0" borderId="0" applyAlignment="1" pivotButton="0" quotePrefix="0" xfId="1">
      <alignment vertical="top"/>
    </xf>
    <xf numFmtId="164" fontId="5" fillId="0" borderId="0" applyAlignment="1" pivotButton="0" quotePrefix="0" xfId="1">
      <alignment horizontal="left" vertical="top"/>
    </xf>
    <xf numFmtId="164" fontId="7" fillId="0" borderId="0" applyAlignment="1" pivotButton="0" quotePrefix="0" xfId="1">
      <alignment horizontal="left" vertical="top" wrapText="1"/>
    </xf>
    <xf numFmtId="164" fontId="7" fillId="0" borderId="4" applyAlignment="1" pivotButton="0" quotePrefix="0" xfId="1">
      <alignment horizontal="left" vertical="top" wrapText="1"/>
    </xf>
    <xf numFmtId="165" fontId="8" fillId="0" borderId="0" applyAlignment="1" pivotButton="0" quotePrefix="0" xfId="1">
      <alignment horizontal="centerContinuous" vertical="top"/>
    </xf>
    <xf numFmtId="165" fontId="14" fillId="0" borderId="11" applyAlignment="1" pivotButton="0" quotePrefix="0" xfId="1">
      <alignment horizontal="left" vertical="top" wrapText="1"/>
    </xf>
    <xf numFmtId="164" fontId="13" fillId="3" borderId="0" applyAlignment="1" pivotButton="0" quotePrefix="1" xfId="1">
      <alignment horizontal="right" vertical="top"/>
    </xf>
    <xf numFmtId="164" fontId="13" fillId="3" borderId="4" applyAlignment="1" pivotButton="0" quotePrefix="1" xfId="1">
      <alignment horizontal="right" vertical="top"/>
    </xf>
    <xf numFmtId="165" fontId="13" fillId="3" borderId="6" applyAlignment="1" pivotButton="0" quotePrefix="0" xfId="3">
      <alignment horizontal="center" vertical="top"/>
    </xf>
    <xf numFmtId="165" fontId="6" fillId="0" borderId="0" applyAlignment="1" pivotButton="0" quotePrefix="0" xfId="1">
      <alignment vertical="top"/>
    </xf>
    <xf numFmtId="173" fontId="6" fillId="0" borderId="0" applyAlignment="1" pivotButton="0" quotePrefix="0" xfId="1">
      <alignment vertical="top"/>
    </xf>
    <xf numFmtId="165" fontId="6" fillId="0" borderId="0" applyAlignment="1" pivotButton="0" quotePrefix="0" xfId="0">
      <alignment vertical="top"/>
    </xf>
    <xf numFmtId="164" fontId="6" fillId="0" borderId="1" applyAlignment="1" pivotButton="0" quotePrefix="0" xfId="1">
      <alignment horizontal="right" vertical="top"/>
    </xf>
    <xf numFmtId="164" fontId="6" fillId="0" borderId="2" applyAlignment="1" pivotButton="0" quotePrefix="0" xfId="1">
      <alignment horizontal="right" vertical="top"/>
    </xf>
    <xf numFmtId="165" fontId="6" fillId="0" borderId="0" applyAlignment="1" pivotButton="0" quotePrefix="0" xfId="1">
      <alignment horizontal="right" vertical="top"/>
    </xf>
    <xf numFmtId="164" fontId="5" fillId="4" borderId="6" applyAlignment="1" pivotButton="0" quotePrefix="1" xfId="1">
      <alignment horizontal="right" vertical="top"/>
    </xf>
    <xf numFmtId="164" fontId="5" fillId="4" borderId="5" applyAlignment="1" pivotButton="0" quotePrefix="1" xfId="1">
      <alignment horizontal="right" vertical="top"/>
    </xf>
    <xf numFmtId="165" fontId="18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4" applyAlignment="1" pivotButton="0" quotePrefix="0" xfId="1">
      <alignment horizontal="right" vertical="top"/>
    </xf>
    <xf numFmtId="164" fontId="8" fillId="4" borderId="6" applyAlignment="1" pivotButton="0" quotePrefix="0" xfId="1">
      <alignment horizontal="right" vertical="top"/>
    </xf>
    <xf numFmtId="164" fontId="8" fillId="4" borderId="5" applyAlignment="1" pivotButton="0" quotePrefix="0" xfId="1">
      <alignment horizontal="right" vertical="top"/>
    </xf>
    <xf numFmtId="174" fontId="6" fillId="0" borderId="0" applyAlignment="1" pivotButton="0" quotePrefix="0" xfId="0">
      <alignment vertical="top"/>
    </xf>
    <xf numFmtId="175" fontId="6" fillId="0" borderId="0" applyAlignment="1" pivotButton="0" quotePrefix="0" xfId="0">
      <alignment vertical="top"/>
    </xf>
    <xf numFmtId="164" fontId="5" fillId="4" borderId="6" applyAlignment="1" pivotButton="0" quotePrefix="0" xfId="1">
      <alignment horizontal="right" vertical="top"/>
    </xf>
    <xf numFmtId="164" fontId="5" fillId="4" borderId="5" applyAlignment="1" pivotButton="0" quotePrefix="0" xfId="1">
      <alignment horizontal="right" vertical="top"/>
    </xf>
    <xf numFmtId="164" fontId="7" fillId="0" borderId="1" applyAlignment="1" pivotButton="0" quotePrefix="0" xfId="1">
      <alignment horizontal="right" vertical="top"/>
    </xf>
    <xf numFmtId="164" fontId="7" fillId="0" borderId="2" applyAlignment="1" pivotButton="0" quotePrefix="0" xfId="1">
      <alignment horizontal="right" vertical="top"/>
    </xf>
    <xf numFmtId="164" fontId="5" fillId="4" borderId="3" applyAlignment="1" pivotButton="0" quotePrefix="0" xfId="1">
      <alignment horizontal="right" vertical="top"/>
    </xf>
    <xf numFmtId="164" fontId="5" fillId="4" borderId="9" applyAlignment="1" pivotButton="0" quotePrefix="0" xfId="1">
      <alignment horizontal="right" vertical="top"/>
    </xf>
    <xf numFmtId="164" fontId="11" fillId="0" borderId="0" applyAlignment="1" pivotButton="0" quotePrefix="0" xfId="1">
      <alignment vertical="top"/>
    </xf>
    <xf numFmtId="164" fontId="7" fillId="0" borderId="0" applyAlignment="1" pivotButton="0" quotePrefix="0" xfId="1">
      <alignment horizontal="left" vertical="top"/>
    </xf>
    <xf numFmtId="164" fontId="16" fillId="0" borderId="0" applyAlignment="1" pivotButton="0" quotePrefix="0" xfId="1">
      <alignment vertical="top"/>
    </xf>
    <xf numFmtId="167" fontId="6" fillId="0" borderId="0" pivotButton="0" quotePrefix="0" xfId="1"/>
    <xf numFmtId="164" fontId="13" fillId="3" borderId="0" applyAlignment="1" pivotButton="0" quotePrefix="1" xfId="1">
      <alignment horizontal="center"/>
    </xf>
    <xf numFmtId="164" fontId="5" fillId="0" borderId="0" applyAlignment="1" pivotButton="0" quotePrefix="0" xfId="1">
      <alignment vertical="top"/>
    </xf>
    <xf numFmtId="164" fontId="6" fillId="0" borderId="0" pivotButton="0" quotePrefix="0" xfId="1"/>
    <xf numFmtId="164" fontId="5" fillId="0" borderId="0" applyAlignment="1" pivotButton="0" quotePrefix="1" xfId="1">
      <alignment horizontal="right" vertical="top"/>
    </xf>
    <xf numFmtId="164" fontId="8" fillId="0" borderId="6" pivotButton="0" quotePrefix="0" xfId="1"/>
    <xf numFmtId="164" fontId="5" fillId="4" borderId="3" pivotButton="0" quotePrefix="0" xfId="1"/>
    <xf numFmtId="166" fontId="5" fillId="0" borderId="0" applyAlignment="1" pivotButton="0" quotePrefix="0" xfId="4">
      <alignment horizontal="left"/>
    </xf>
    <xf numFmtId="167" fontId="11" fillId="0" borderId="0" pivotButton="0" quotePrefix="0" xfId="1"/>
    <xf numFmtId="164" fontId="20" fillId="0" borderId="6" applyAlignment="1" pivotButton="0" quotePrefix="0" xfId="1">
      <alignment horizontal="left"/>
    </xf>
    <xf numFmtId="166" fontId="5" fillId="0" borderId="0" applyAlignment="1" pivotButton="0" quotePrefix="0" xfId="4">
      <alignment vertical="top"/>
    </xf>
    <xf numFmtId="164" fontId="17" fillId="0" borderId="0" applyAlignment="1" pivotButton="0" quotePrefix="0" xfId="1">
      <alignment horizontal="left"/>
    </xf>
    <xf numFmtId="164" fontId="21" fillId="0" borderId="7" pivotButton="0" quotePrefix="0" xfId="1"/>
    <xf numFmtId="167" fontId="14" fillId="0" borderId="0" pivotButton="0" quotePrefix="0" xfId="1"/>
    <xf numFmtId="170" fontId="14" fillId="0" borderId="0" pivotButton="0" quotePrefix="0" xfId="1"/>
    <xf numFmtId="170" fontId="6" fillId="0" borderId="0" pivotButton="0" quotePrefix="0" xfId="0"/>
    <xf numFmtId="170" fontId="13" fillId="3" borderId="1" applyAlignment="1" pivotButton="0" quotePrefix="0" xfId="1">
      <alignment horizontal="center"/>
    </xf>
    <xf numFmtId="172" fontId="6" fillId="0" borderId="0" pivotButton="0" quotePrefix="0" xfId="1"/>
    <xf numFmtId="172" fontId="8" fillId="0" borderId="6" applyAlignment="1" pivotButton="0" quotePrefix="0" xfId="1">
      <alignment horizontal="right"/>
    </xf>
    <xf numFmtId="166" fontId="7" fillId="0" borderId="0" applyAlignment="1" pivotButton="0" quotePrefix="0" xfId="4">
      <alignment horizontal="left"/>
    </xf>
    <xf numFmtId="172" fontId="8" fillId="4" borderId="7" applyAlignment="1" pivotButton="0" quotePrefix="0" xfId="1">
      <alignment horizontal="right"/>
    </xf>
    <xf numFmtId="172" fontId="6" fillId="0" borderId="0" applyAlignment="1" pivotButton="0" quotePrefix="0" xfId="1">
      <alignment horizontal="right"/>
    </xf>
    <xf numFmtId="172" fontId="8" fillId="4" borderId="0" applyAlignment="1" pivotButton="0" quotePrefix="0" xfId="1">
      <alignment horizontal="right"/>
    </xf>
    <xf numFmtId="172" fontId="8" fillId="4" borderId="8" applyAlignment="1" pivotButton="0" quotePrefix="0" xfId="1">
      <alignment horizontal="right"/>
    </xf>
    <xf numFmtId="170" fontId="6" fillId="0" borderId="0" pivotButton="0" quotePrefix="0" xfId="1"/>
    <xf numFmtId="166" fontId="14" fillId="0" borderId="0" pivotButton="0" quotePrefix="0" xfId="1"/>
    <xf numFmtId="165" fontId="6" fillId="0" borderId="0" applyAlignment="1" pivotButton="0" quotePrefix="0" xfId="1">
      <alignment horizontal="right"/>
    </xf>
    <xf numFmtId="171" fontId="6" fillId="0" borderId="0" pivotButton="0" quotePrefix="0" xfId="1"/>
    <xf numFmtId="165" fontId="6" fillId="0" borderId="0" pivotButton="0" quotePrefix="0" xfId="1"/>
    <xf numFmtId="171" fontId="8" fillId="0" borderId="0" pivotButton="0" quotePrefix="0" xfId="1"/>
    <xf numFmtId="171" fontId="8" fillId="0" borderId="6" pivotButton="0" quotePrefix="0" xfId="1"/>
    <xf numFmtId="171" fontId="8" fillId="0" borderId="1" applyAlignment="1" pivotButton="0" quotePrefix="0" xfId="1">
      <alignment horizontal="center"/>
    </xf>
    <xf numFmtId="171" fontId="8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left" vertical="center"/>
    </xf>
    <xf numFmtId="171" fontId="8" fillId="0" borderId="7" pivotButton="0" quotePrefix="0" xfId="1"/>
    <xf numFmtId="171" fontId="5" fillId="0" borderId="6" pivotButton="0" quotePrefix="0" xfId="1"/>
    <xf numFmtId="171" fontId="6" fillId="0" borderId="0" applyAlignment="1" pivotButton="0" quotePrefix="0" xfId="1">
      <alignment horizontal="center"/>
    </xf>
    <xf numFmtId="171" fontId="8" fillId="0" borderId="0" applyAlignment="1" pivotButton="0" quotePrefix="0" xfId="1">
      <alignment horizontal="left"/>
    </xf>
    <xf numFmtId="171" fontId="6" fillId="0" borderId="0" applyAlignment="1" pivotButton="0" quotePrefix="0" xfId="1">
      <alignment horizontal="left"/>
    </xf>
    <xf numFmtId="171" fontId="5" fillId="0" borderId="7" applyAlignment="1" pivotButton="0" quotePrefix="0" xfId="1">
      <alignment horizontal="center"/>
    </xf>
    <xf numFmtId="171" fontId="5" fillId="0" borderId="0" applyAlignment="1" pivotButton="0" quotePrefix="0" xfId="1">
      <alignment horizontal="center"/>
    </xf>
    <xf numFmtId="171" fontId="8" fillId="0" borderId="6" applyAlignment="1" pivotButton="0" quotePrefix="0" xfId="1">
      <alignment vertical="center"/>
    </xf>
    <xf numFmtId="171" fontId="8" fillId="0" borderId="7" applyAlignment="1" pivotButton="0" quotePrefix="0" xfId="1">
      <alignment horizontal="right" vertical="center"/>
    </xf>
    <xf numFmtId="171" fontId="8" fillId="0" borderId="0" applyAlignment="1" pivotButton="0" quotePrefix="0" xfId="1">
      <alignment horizontal="right" vertical="center"/>
    </xf>
    <xf numFmtId="165" fontId="8" fillId="0" borderId="0" applyAlignment="1" pivotButton="0" quotePrefix="0" xfId="1">
      <alignment vertical="top"/>
    </xf>
    <xf numFmtId="165" fontId="8" fillId="0" borderId="0" applyAlignment="1" pivotButton="0" quotePrefix="0" xfId="1">
      <alignment horizontal="right" vertical="center"/>
    </xf>
    <xf numFmtId="171" fontId="7" fillId="0" borderId="0" pivotButton="0" quotePrefix="0" xfId="1"/>
    <xf numFmtId="171" fontId="7" fillId="0" borderId="0" applyAlignment="1" pivotButton="0" quotePrefix="0" xfId="1">
      <alignment vertical="top"/>
    </xf>
    <xf numFmtId="171" fontId="5" fillId="0" borderId="0" applyAlignment="1" pivotButton="0" quotePrefix="0" xfId="1">
      <alignment vertical="top"/>
    </xf>
    <xf numFmtId="171" fontId="8" fillId="0" borderId="6" applyAlignment="1" pivotButton="0" quotePrefix="0" xfId="1">
      <alignment vertical="top"/>
    </xf>
    <xf numFmtId="171" fontId="8" fillId="0" borderId="7" applyAlignment="1" pivotButton="0" quotePrefix="0" xfId="1">
      <alignment horizontal="right"/>
    </xf>
    <xf numFmtId="171" fontId="8" fillId="0" borderId="0" applyAlignment="1" pivotButton="0" quotePrefix="0" xfId="1">
      <alignment horizontal="right"/>
    </xf>
    <xf numFmtId="171" fontId="6" fillId="0" borderId="0" applyAlignment="1" pivotButton="0" quotePrefix="0" xfId="1">
      <alignment horizontal="center" vertical="center"/>
    </xf>
    <xf numFmtId="171" fontId="8" fillId="0" borderId="3" pivotButton="0" quotePrefix="0" xfId="1"/>
    <xf numFmtId="171" fontId="7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right" vertical="top"/>
    </xf>
    <xf numFmtId="165" fontId="8" fillId="0" borderId="0" pivotButton="0" quotePrefix="0" xfId="1"/>
    <xf numFmtId="171" fontId="8" fillId="0" borderId="0" applyAlignment="1" pivotButton="0" quotePrefix="0" xfId="1">
      <alignment horizontal="right" vertical="top"/>
    </xf>
    <xf numFmtId="165" fontId="24" fillId="0" borderId="0" pivotButton="0" quotePrefix="0" xfId="1"/>
    <xf numFmtId="165" fontId="24" fillId="0" borderId="0" applyAlignment="1" pivotButton="0" quotePrefix="0" xfId="1">
      <alignment horizontal="right"/>
    </xf>
    <xf numFmtId="171" fontId="24" fillId="0" borderId="6" pivotButton="0" quotePrefix="0" xfId="1"/>
    <xf numFmtId="171" fontId="24" fillId="0" borderId="0" applyAlignment="1" pivotButton="0" quotePrefix="0" xfId="1">
      <alignment horizontal="center"/>
    </xf>
    <xf numFmtId="171" fontId="24" fillId="0" borderId="0" pivotButton="0" quotePrefix="0" xfId="1"/>
    <xf numFmtId="167" fontId="6" fillId="0" borderId="0" pivotButton="0" quotePrefix="0" xfId="0"/>
    <xf numFmtId="167" fontId="5" fillId="0" borderId="0" applyAlignment="1" applyProtection="1" pivotButton="0" quotePrefix="0" xfId="1">
      <alignment vertical="center"/>
      <protection locked="0" hidden="0"/>
    </xf>
    <xf numFmtId="167" fontId="7" fillId="0" borderId="0" applyAlignment="1" applyProtection="1" pivotButton="0" quotePrefix="0" xfId="19">
      <alignment vertical="center"/>
      <protection locked="0" hidden="0"/>
    </xf>
    <xf numFmtId="165" fontId="13" fillId="3" borderId="1" applyAlignment="1" pivotButton="0" quotePrefix="0" xfId="1">
      <alignment horizontal="center" vertical="center" wrapText="1"/>
    </xf>
    <xf numFmtId="164" fontId="7" fillId="0" borderId="0" applyAlignment="1" pivotButton="0" quotePrefix="0" xfId="1">
      <alignment vertical="center"/>
    </xf>
    <xf numFmtId="164" fontId="7" fillId="2" borderId="0" applyAlignment="1" pivotButton="0" quotePrefix="0" xfId="1">
      <alignment horizontal="right" vertical="center"/>
    </xf>
    <xf numFmtId="168" fontId="6" fillId="0" borderId="0" pivotButton="0" quotePrefix="0" xfId="0"/>
    <xf numFmtId="168" fontId="7" fillId="2" borderId="0" applyAlignment="1" pivotButton="0" quotePrefix="0" xfId="2">
      <alignment horizontal="right" vertical="center"/>
    </xf>
    <xf numFmtId="168" fontId="7" fillId="2" borderId="8" applyAlignment="1" pivotButton="0" quotePrefix="0" xfId="2">
      <alignment horizontal="right" vertical="center"/>
    </xf>
    <xf numFmtId="169" fontId="6" fillId="0" borderId="0" pivotButton="0" quotePrefix="0" xfId="1"/>
    <xf numFmtId="169" fontId="8" fillId="4" borderId="3" pivotButton="0" quotePrefix="0" xfId="1"/>
    <xf numFmtId="167" fontId="8" fillId="0" borderId="0" applyAlignment="1" pivotButton="0" quotePrefix="0" xfId="1">
      <alignment horizontal="left"/>
    </xf>
    <xf numFmtId="167" fontId="8" fillId="0" borderId="0" pivotButton="0" quotePrefix="0" xfId="0"/>
  </cellXfs>
  <cellStyles count="24">
    <cellStyle name="Normal" xfId="0" builtinId="0"/>
    <cellStyle name="Comma" xfId="1" builtinId="3"/>
    <cellStyle name="Percent" xfId="2" builtinId="5"/>
    <cellStyle name="Normal 2" xfId="3"/>
    <cellStyle name="Brand Default_Book16" xfId="4"/>
    <cellStyle name="Comma 2" xfId="5"/>
    <cellStyle name="Comma 2 3" xfId="6"/>
    <cellStyle name="Comma 2 2" xfId="7"/>
    <cellStyle name="Comma 2 2 2" xfId="8"/>
    <cellStyle name="Comma 3" xfId="9"/>
    <cellStyle name="Comma 4" xfId="10"/>
    <cellStyle name="Hyperlink 2" xfId="11"/>
    <cellStyle name="Normal 2 2" xfId="12"/>
    <cellStyle name="Normal 2 3" xfId="13"/>
    <cellStyle name="Normal 2 3 2" xfId="14"/>
    <cellStyle name="Normal 4" xfId="15"/>
    <cellStyle name="Comma 5 2" xfId="16"/>
    <cellStyle name="Comma 5" xfId="17"/>
    <cellStyle name="Comma 2 4" xfId="18"/>
    <cellStyle name="Normal_Databook Template 3" xfId="19"/>
    <cellStyle name="Normal 3" xfId="20"/>
    <cellStyle name="Currency 2" xfId="21"/>
    <cellStyle name="Comma 6" xfId="22"/>
    <cellStyle name="Percent 2" xfId="2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AI25"/>
  <sheetViews>
    <sheetView showGridLines="0" zoomScale="75" zoomScaleNormal="108" workbookViewId="0">
      <selection activeCell="D22" sqref="D22"/>
    </sheetView>
  </sheetViews>
  <sheetFormatPr baseColWidth="8" defaultColWidth="8.81640625" defaultRowHeight="16" outlineLevelRow="1"/>
  <cols>
    <col width="2.81640625" customWidth="1" style="181" min="1" max="1"/>
    <col width="36.36328125" bestFit="1" customWidth="1" style="181" min="2" max="2"/>
    <col width="7.81640625" bestFit="1" customWidth="1" style="269" min="3" max="3"/>
    <col width="6.81640625" bestFit="1" customWidth="1" style="269" min="4" max="5"/>
    <col width="6.90625" bestFit="1" customWidth="1" style="269" min="6" max="6"/>
    <col width="6.90625" customWidth="1" style="269" min="7" max="7"/>
    <col width="7.1796875" bestFit="1" customWidth="1" style="242" min="8" max="11"/>
    <col width="7.1796875" customWidth="1" style="242" min="12" max="12"/>
    <col outlineLevel="1" width="7.453125" customWidth="1" style="181" min="13" max="13"/>
    <col outlineLevel="1" width="7.81640625" customWidth="1" style="181" min="14" max="14"/>
    <col outlineLevel="1" width="7.6328125" customWidth="1" style="181" min="15" max="15"/>
    <col width="7.1796875" bestFit="1" customWidth="1" style="181" min="16" max="16"/>
    <col width="6.453125" customWidth="1" style="181" min="17" max="20"/>
    <col width="7.6328125" customWidth="1" style="181" min="21" max="21"/>
    <col width="6.453125" customWidth="1" style="181" min="22" max="33"/>
    <col width="10.36328125" bestFit="1" customWidth="1" style="181" min="34" max="34"/>
    <col width="18.81640625" bestFit="1" customWidth="1" style="181" min="35" max="35"/>
    <col width="8.81640625" customWidth="1" style="181" min="36" max="16384"/>
  </cols>
  <sheetData>
    <row r="2">
      <c r="B2" s="2" t="inlineStr">
        <is>
          <t>Name</t>
        </is>
      </c>
      <c r="D2" s="270" t="n"/>
      <c r="E2" s="270" t="n"/>
      <c r="F2" s="270" t="n"/>
      <c r="G2" s="270" t="n"/>
      <c r="H2" s="186" t="n"/>
      <c r="I2" s="186" t="n"/>
      <c r="J2" s="186" t="n"/>
      <c r="K2" s="186" t="n"/>
      <c r="L2" s="186" t="n"/>
      <c r="M2" s="269" t="n"/>
    </row>
    <row r="3">
      <c r="A3" s="181" t="inlineStr">
        <is>
          <t> </t>
        </is>
      </c>
      <c r="B3" s="2" t="inlineStr">
        <is>
          <t>Income statement</t>
        </is>
      </c>
      <c r="D3" s="270" t="n"/>
      <c r="E3" s="270" t="n"/>
      <c r="F3" s="270" t="n"/>
      <c r="G3" s="270" t="n"/>
      <c r="H3" s="186" t="n"/>
      <c r="I3" s="186" t="n"/>
      <c r="J3" s="186" t="n"/>
      <c r="K3" s="186" t="n"/>
      <c r="L3" s="186" t="n"/>
      <c r="M3" s="269" t="n"/>
      <c r="AI3" s="187" t="inlineStr">
        <is>
          <t>&lt;&lt;Do not delete&gt;&gt;</t>
        </is>
      </c>
    </row>
    <row r="4">
      <c r="B4" s="3" t="inlineStr">
        <is>
          <t>INR million</t>
        </is>
      </c>
      <c r="D4" s="271" t="n"/>
      <c r="E4" s="271" t="n"/>
      <c r="F4" s="271" t="n"/>
      <c r="G4" s="272" t="n"/>
      <c r="H4" s="188" t="inlineStr">
        <is>
          <t>% to revenue</t>
        </is>
      </c>
      <c r="I4" s="189" t="n"/>
      <c r="J4" s="179" t="n"/>
      <c r="K4" s="179" t="n"/>
      <c r="L4" s="180" t="n"/>
      <c r="M4" s="273" t="inlineStr">
        <is>
          <t>% change y-o-y</t>
        </is>
      </c>
      <c r="N4" s="52" t="n"/>
      <c r="O4" s="191" t="n"/>
      <c r="AI4" s="274">
        <f t="array" ref="AI4">_xlfn.IFS(B4="INR",10^0,B4="INR lakhs",10^5,B4="INR million",10^6)</f>
        <v/>
      </c>
    </row>
    <row r="5">
      <c r="B5" s="192" t="inlineStr">
        <is>
          <t>Particulars</t>
        </is>
      </c>
      <c r="C5" s="275" t="inlineStr">
        <is>
          <t>FY22</t>
        </is>
      </c>
      <c r="D5" s="275" t="inlineStr">
        <is>
          <t>FY23</t>
        </is>
      </c>
      <c r="E5" s="275" t="inlineStr">
        <is>
          <t>FY24</t>
        </is>
      </c>
      <c r="F5" s="275" t="inlineStr">
        <is>
          <t>FY25</t>
        </is>
      </c>
      <c r="G5" s="276" t="inlineStr">
        <is>
          <t>FY26</t>
        </is>
      </c>
      <c r="H5" s="195">
        <f>C5</f>
        <v/>
      </c>
      <c r="I5" s="195">
        <f>D5</f>
        <v/>
      </c>
      <c r="J5" s="196">
        <f>E5</f>
        <v/>
      </c>
      <c r="K5" s="195">
        <f>F5</f>
        <v/>
      </c>
      <c r="L5" s="197">
        <f>G5</f>
        <v/>
      </c>
      <c r="M5" s="277">
        <f>I5</f>
        <v/>
      </c>
      <c r="N5" s="277">
        <f>J5</f>
        <v/>
      </c>
      <c r="O5" s="277">
        <f>K5</f>
        <v/>
      </c>
      <c r="P5" s="277">
        <f>L5</f>
        <v/>
      </c>
      <c r="Q5" s="278" t="n"/>
      <c r="R5" s="278" t="n"/>
      <c r="S5" s="278" t="n"/>
      <c r="T5" s="278" t="n"/>
      <c r="U5" s="279" t="n"/>
      <c r="V5" s="278" t="n"/>
      <c r="W5" s="278" t="n"/>
      <c r="X5" s="278" t="n"/>
      <c r="Y5" s="278" t="n"/>
      <c r="Z5" s="278" t="n"/>
      <c r="AA5" s="278" t="n"/>
      <c r="AB5" s="278" t="n"/>
      <c r="AC5" s="278" t="n"/>
      <c r="AD5" s="278" t="n"/>
      <c r="AE5" s="278" t="n"/>
      <c r="AF5" s="278" t="n"/>
      <c r="AG5" s="278" t="n"/>
      <c r="AH5" s="201" t="inlineStr">
        <is>
          <t>INR</t>
        </is>
      </c>
      <c r="AI5" s="280" t="n"/>
    </row>
    <row r="6">
      <c r="B6" s="50" t="inlineStr">
        <is>
          <t>Revenue from operations</t>
        </is>
      </c>
      <c r="C6" s="281">
        <f>((Sch.!C245))/(curr)</f>
        <v/>
      </c>
      <c r="D6" s="281">
        <f>((Sch.!D245))/(curr)</f>
        <v/>
      </c>
      <c r="E6" s="281">
        <f>((Sch.!E245))/(curr)</f>
        <v/>
      </c>
      <c r="F6" s="281">
        <f>((Sch.!F245))/(curr)</f>
        <v/>
      </c>
      <c r="G6" s="282">
        <f>((Sch.!G245))/(curr)</f>
        <v/>
      </c>
      <c r="H6" s="226">
        <f>IFERROR(C6/C$7,0)</f>
        <v/>
      </c>
      <c r="I6" s="226">
        <f>IFERROR(D6/D$7,0)</f>
        <v/>
      </c>
      <c r="J6" s="226">
        <f>IFERROR(E6/E$7,0)</f>
        <v/>
      </c>
      <c r="K6" s="226">
        <f>IFERROR(F6/F$7,0)</f>
        <v/>
      </c>
      <c r="L6" s="207">
        <f>IFERROR(G6/G$7,0)</f>
        <v/>
      </c>
      <c r="M6" s="226">
        <f>+IFERROR((D6/C6)-1,0)</f>
        <v/>
      </c>
      <c r="N6" s="226">
        <f>+IFERROR((E6/D6)-1,0)</f>
        <v/>
      </c>
      <c r="O6" s="226">
        <f>+IFERROR((F6/E6)-1,0)</f>
        <v/>
      </c>
      <c r="P6" s="226">
        <f>+IFERROR((G6/F6)-1,0)</f>
        <v/>
      </c>
      <c r="R6" s="278" t="n"/>
      <c r="S6" s="278" t="n"/>
      <c r="T6" s="278" t="n"/>
      <c r="U6" s="278" t="n"/>
      <c r="V6" s="278" t="n"/>
      <c r="W6" s="278" t="n"/>
      <c r="X6" s="278" t="n"/>
      <c r="Y6" s="278" t="n"/>
      <c r="Z6" s="278" t="n"/>
      <c r="AA6" s="278" t="n"/>
      <c r="AB6" s="278" t="n"/>
      <c r="AC6" s="278" t="n"/>
      <c r="AD6" s="278" t="n"/>
      <c r="AE6" s="278" t="n"/>
      <c r="AF6" s="278" t="n"/>
      <c r="AG6" s="278" t="n"/>
      <c r="AH6" s="201" t="inlineStr">
        <is>
          <t>INR lakhs</t>
        </is>
      </c>
      <c r="AI6" s="280" t="n"/>
    </row>
    <row r="7" customFormat="1" s="278">
      <c r="A7" s="283" t="n"/>
      <c r="B7" s="101" t="inlineStr">
        <is>
          <t>Total revenue</t>
        </is>
      </c>
      <c r="C7" s="284">
        <f>SUM(C6:C6)</f>
        <v/>
      </c>
      <c r="D7" s="284">
        <f>SUM(D6:D6)</f>
        <v/>
      </c>
      <c r="E7" s="284">
        <f>SUM(E6:E6)</f>
        <v/>
      </c>
      <c r="F7" s="284">
        <f>SUM(F6:F6)</f>
        <v/>
      </c>
      <c r="G7" s="285">
        <f>SUM(G6:G6)</f>
        <v/>
      </c>
      <c r="H7" s="211">
        <f>IFERROR(C7/C$7,0)</f>
        <v/>
      </c>
      <c r="I7" s="211">
        <f>IFERROR(D7/D$7,0)</f>
        <v/>
      </c>
      <c r="J7" s="211">
        <f>IFERROR(E7/E$7,0)</f>
        <v/>
      </c>
      <c r="K7" s="211">
        <f>IFERROR(F7/F$7,0)</f>
        <v/>
      </c>
      <c r="L7" s="212">
        <f>IFERROR(G7/G$7,0)</f>
        <v/>
      </c>
      <c r="M7" s="211">
        <f>+IFERROR((D7/C7)-1,0)</f>
        <v/>
      </c>
      <c r="N7" s="211">
        <f>+IFERROR((E7/D7)-1,0)</f>
        <v/>
      </c>
      <c r="O7" s="211">
        <f>+IFERROR((F7/E7)-1,0)</f>
        <v/>
      </c>
      <c r="P7" s="211">
        <f>+IFERROR((G7/F7)-1,0)</f>
        <v/>
      </c>
      <c r="AH7" s="214" t="inlineStr">
        <is>
          <t>INR million</t>
        </is>
      </c>
    </row>
    <row r="8" customFormat="1" s="215">
      <c r="B8" s="115" t="inlineStr">
        <is>
          <t>% change y-o-y</t>
        </is>
      </c>
      <c r="C8" s="226" t="n"/>
      <c r="D8" s="226">
        <f>IFERROR(D7/C7-1,0)</f>
        <v/>
      </c>
      <c r="E8" s="226">
        <f>IFERROR(E7/D7-1,0)</f>
        <v/>
      </c>
      <c r="F8" s="226">
        <f>IFERROR(F7/E7-1,0)</f>
        <v/>
      </c>
      <c r="G8" s="226">
        <f>IFERROR(G7/F7-1,0)</f>
        <v/>
      </c>
      <c r="H8" s="246" t="n"/>
      <c r="I8" s="216" t="n"/>
      <c r="J8" s="216" t="n"/>
      <c r="K8" s="216" t="n"/>
      <c r="L8" s="217" t="n"/>
      <c r="M8" s="216" t="n"/>
      <c r="N8" s="216" t="n"/>
      <c r="O8" s="216" t="n"/>
      <c r="P8" s="216" t="n"/>
      <c r="AI8" s="286" t="n"/>
    </row>
    <row r="9">
      <c r="B9" s="51" t="inlineStr">
        <is>
          <t>Cost of goods sold</t>
        </is>
      </c>
      <c r="C9" s="287">
        <f>SUM(C10:C11)</f>
        <v/>
      </c>
      <c r="D9" s="287">
        <f>SUM(D10:D11)</f>
        <v/>
      </c>
      <c r="E9" s="287">
        <f>SUM(E10:E11)</f>
        <v/>
      </c>
      <c r="F9" s="287">
        <f>SUM(F10:F11)</f>
        <v/>
      </c>
      <c r="G9" s="288">
        <f>SUM(G10:G11)</f>
        <v/>
      </c>
      <c r="H9" s="226">
        <f>IFERROR(C9/C$7,0)</f>
        <v/>
      </c>
      <c r="I9" s="226">
        <f>IFERROR(D9/D$7,0)</f>
        <v/>
      </c>
      <c r="J9" s="226">
        <f>IFERROR(E9/E$7,0)</f>
        <v/>
      </c>
      <c r="K9" s="226">
        <f>IFERROR(F9/F$7,0)</f>
        <v/>
      </c>
      <c r="L9" s="227">
        <f>IFERROR(G9/G$7,0)</f>
        <v/>
      </c>
      <c r="M9" s="226">
        <f>+IFERROR((D9/C9)-1,0)</f>
        <v/>
      </c>
      <c r="N9" s="226">
        <f>+IFERROR((E9/D9)-1,0)</f>
        <v/>
      </c>
      <c r="O9" s="226">
        <f>+IFERROR((F9/E9)-1,0)</f>
        <v/>
      </c>
      <c r="P9" s="226">
        <f>+IFERROR((G9/F9)-1,0)</f>
        <v/>
      </c>
      <c r="AI9" s="280" t="n"/>
    </row>
    <row r="10" outlineLevel="1">
      <c r="B10" s="247" t="inlineStr">
        <is>
          <t>Purchases</t>
        </is>
      </c>
      <c r="C10" s="287">
        <f>SUM(Sch.!C266:C267)/curr</f>
        <v/>
      </c>
      <c r="D10" s="287">
        <f>SUM(Sch.!D266:D267)/curr</f>
        <v/>
      </c>
      <c r="E10" s="287">
        <f>SUM(Sch.!E266:E267)/curr</f>
        <v/>
      </c>
      <c r="F10" s="287">
        <f>SUM(Sch.!F266:F267)/curr</f>
        <v/>
      </c>
      <c r="G10" s="288">
        <f>SUM(Sch.!G266:G267)/curr</f>
        <v/>
      </c>
      <c r="H10" s="226">
        <f>IFERROR(C10/C$7,0)</f>
        <v/>
      </c>
      <c r="I10" s="226">
        <f>IFERROR(D10/D$7,0)</f>
        <v/>
      </c>
      <c r="J10" s="226">
        <f>IFERROR(E10/E$7,0)</f>
        <v/>
      </c>
      <c r="K10" s="226">
        <f>IFERROR(F10/F$7,0)</f>
        <v/>
      </c>
      <c r="L10" s="227">
        <f>IFERROR(G10/G$7,0)</f>
        <v/>
      </c>
      <c r="M10" s="226">
        <f>+IFERROR((D10/C10)-1,0)</f>
        <v/>
      </c>
      <c r="N10" s="226">
        <f>+IFERROR((E10/D10)-1,0)</f>
        <v/>
      </c>
      <c r="O10" s="226">
        <f>+IFERROR((F10/E10)-1,0)</f>
        <v/>
      </c>
      <c r="P10" s="226">
        <f>+IFERROR((G10/F10)-1,0)</f>
        <v/>
      </c>
      <c r="AI10" s="280" t="n"/>
    </row>
    <row r="11" outlineLevel="1">
      <c r="B11" s="247" t="inlineStr">
        <is>
          <t>Changes in inventories of finished goods</t>
        </is>
      </c>
      <c r="C11" s="287">
        <f>Sch.!C268/curr</f>
        <v/>
      </c>
      <c r="D11" s="287">
        <f>Sch.!D268/curr</f>
        <v/>
      </c>
      <c r="E11" s="287">
        <f>Sch.!E268/curr</f>
        <v/>
      </c>
      <c r="F11" s="287">
        <f>Sch.!F268/curr</f>
        <v/>
      </c>
      <c r="G11" s="288">
        <f>Sch.!G268/curr</f>
        <v/>
      </c>
      <c r="H11" s="226">
        <f>IFERROR(C11/C$7,0)</f>
        <v/>
      </c>
      <c r="I11" s="226">
        <f>IFERROR(D11/D$7,0)</f>
        <v/>
      </c>
      <c r="J11" s="226">
        <f>IFERROR(E11/E$7,0)</f>
        <v/>
      </c>
      <c r="K11" s="226">
        <f>IFERROR(F11/F$7,0)</f>
        <v/>
      </c>
      <c r="L11" s="227">
        <f>IFERROR(G11/G$7,0)</f>
        <v/>
      </c>
      <c r="M11" s="226">
        <f>+IFERROR((D11/C11)-1,0)</f>
        <v/>
      </c>
      <c r="N11" s="226">
        <f>+IFERROR((E11/D11)-1,0)</f>
        <v/>
      </c>
      <c r="O11" s="226">
        <f>+IFERROR((F11/E11)-1,0)</f>
        <v/>
      </c>
      <c r="P11" s="226">
        <f>+IFERROR((G11/F11)-1,0)</f>
        <v/>
      </c>
      <c r="AI11" s="280" t="n"/>
    </row>
    <row r="12">
      <c r="B12" s="51" t="inlineStr">
        <is>
          <t>Direct expenses</t>
        </is>
      </c>
      <c r="C12" s="287">
        <f>Sch.!C337/curr</f>
        <v/>
      </c>
      <c r="D12" s="287">
        <f>Sch.!D337/curr</f>
        <v/>
      </c>
      <c r="E12" s="287">
        <f>Sch.!E337/curr</f>
        <v/>
      </c>
      <c r="F12" s="287">
        <f>Sch.!F337/curr</f>
        <v/>
      </c>
      <c r="G12" s="288">
        <f>Sch.!G337/curr</f>
        <v/>
      </c>
      <c r="H12" s="226">
        <f>IFERROR(C12/C$7,0)</f>
        <v/>
      </c>
      <c r="I12" s="226">
        <f>IFERROR(D12/D$7,0)</f>
        <v/>
      </c>
      <c r="J12" s="226">
        <f>IFERROR(E12/E$7,0)</f>
        <v/>
      </c>
      <c r="K12" s="226">
        <f>IFERROR(F12/F$7,0)</f>
        <v/>
      </c>
      <c r="L12" s="227">
        <f>IFERROR(G12/G$7,0)</f>
        <v/>
      </c>
      <c r="M12" s="226">
        <f>+IFERROR((D12/C12)-1,0)</f>
        <v/>
      </c>
      <c r="N12" s="226">
        <f>+IFERROR((E12/D12)-1,0)</f>
        <v/>
      </c>
      <c r="O12" s="226">
        <f>+IFERROR((F12/E12)-1,0)</f>
        <v/>
      </c>
      <c r="P12" s="226">
        <f>+IFERROR((G12/F12)-1,0)</f>
        <v/>
      </c>
      <c r="AI12" s="280" t="n"/>
    </row>
    <row r="13">
      <c r="B13" s="222" t="inlineStr">
        <is>
          <t>Gross margin</t>
        </is>
      </c>
      <c r="C13" s="289">
        <f>C7-C9-C12</f>
        <v/>
      </c>
      <c r="D13" s="289">
        <f>D7-D9-D12</f>
        <v/>
      </c>
      <c r="E13" s="289">
        <f>E7-E9-E12</f>
        <v/>
      </c>
      <c r="F13" s="289">
        <f>F7-F9-F12</f>
        <v/>
      </c>
      <c r="G13" s="290">
        <f>G7-G9-G12</f>
        <v/>
      </c>
      <c r="H13" s="211">
        <f>IFERROR(C13/C$7,0)</f>
        <v/>
      </c>
      <c r="I13" s="211">
        <f>IFERROR(D13/D$7,0)</f>
        <v/>
      </c>
      <c r="J13" s="211">
        <f>IFERROR(E13/E$7,0)</f>
        <v/>
      </c>
      <c r="K13" s="211">
        <f>IFERROR(F13/F$7,0)</f>
        <v/>
      </c>
      <c r="L13" s="212">
        <f>IFERROR(G13/G$7,0)</f>
        <v/>
      </c>
      <c r="M13" s="211">
        <f>+IFERROR((D13/C13)-1,0)</f>
        <v/>
      </c>
      <c r="N13" s="211">
        <f>+IFERROR((E13/D13)-1,0)</f>
        <v/>
      </c>
      <c r="O13" s="211">
        <f>+IFERROR((F13/E13)-1,0)</f>
        <v/>
      </c>
      <c r="P13" s="211">
        <f>+IFERROR((G13/F13)-1,0)</f>
        <v/>
      </c>
      <c r="Q13" s="278" t="n"/>
      <c r="R13" s="278" t="n"/>
      <c r="S13" s="278" t="n"/>
      <c r="T13" s="278" t="n"/>
      <c r="U13" s="278" t="n"/>
      <c r="V13" s="278" t="n"/>
      <c r="W13" s="278" t="n"/>
      <c r="X13" s="278" t="n"/>
      <c r="Y13" s="278" t="n"/>
      <c r="Z13" s="278" t="n"/>
      <c r="AA13" s="278" t="n"/>
      <c r="AB13" s="278" t="n"/>
      <c r="AC13" s="278" t="n"/>
      <c r="AD13" s="278" t="n"/>
      <c r="AE13" s="278" t="n"/>
      <c r="AF13" s="278" t="n"/>
      <c r="AG13" s="278" t="n"/>
      <c r="AH13" s="291" t="n"/>
      <c r="AI13" s="280" t="n"/>
    </row>
    <row r="14">
      <c r="B14" s="51" t="inlineStr">
        <is>
          <t>Employee benefit expense</t>
        </is>
      </c>
      <c r="C14" s="287">
        <f>(Sch.!C296)/(curr)</f>
        <v/>
      </c>
      <c r="D14" s="287">
        <f>(Sch.!D296)/(curr)</f>
        <v/>
      </c>
      <c r="E14" s="287">
        <f>(Sch.!E296)/(curr)</f>
        <v/>
      </c>
      <c r="F14" s="287">
        <f>(Sch.!F296)/(curr)</f>
        <v/>
      </c>
      <c r="G14" s="288">
        <f>(Sch.!G296)/(curr)</f>
        <v/>
      </c>
      <c r="H14" s="226">
        <f>IFERROR(C14/C$7,0)</f>
        <v/>
      </c>
      <c r="I14" s="226">
        <f>IFERROR(D14/D$7,0)</f>
        <v/>
      </c>
      <c r="J14" s="226">
        <f>IFERROR(E14/E$7,0)</f>
        <v/>
      </c>
      <c r="K14" s="226">
        <f>IFERROR(F14/F$7,0)</f>
        <v/>
      </c>
      <c r="L14" s="227">
        <f>IFERROR(G14/G$7,0)</f>
        <v/>
      </c>
      <c r="M14" s="226">
        <f>+IFERROR((D14/C14)-1,0)</f>
        <v/>
      </c>
      <c r="N14" s="226">
        <f>+IFERROR((E14/D14)-1,0)</f>
        <v/>
      </c>
      <c r="O14" s="226">
        <f>+IFERROR((F14/E14)-1,0)</f>
        <v/>
      </c>
      <c r="P14" s="226">
        <f>+IFERROR((G14/F14)-1,0)</f>
        <v/>
      </c>
      <c r="Q14" s="278" t="n"/>
      <c r="R14" s="278" t="n"/>
      <c r="S14" s="278" t="n"/>
      <c r="T14" s="278" t="n"/>
      <c r="U14" s="278" t="n"/>
      <c r="V14" s="278" t="n"/>
      <c r="W14" s="278" t="n"/>
      <c r="X14" s="278" t="n"/>
      <c r="Y14" s="278" t="n"/>
      <c r="Z14" s="278" t="n"/>
      <c r="AA14" s="278" t="n"/>
      <c r="AB14" s="278" t="n"/>
      <c r="AC14" s="278" t="n"/>
      <c r="AD14" s="278" t="n"/>
      <c r="AE14" s="278" t="n"/>
      <c r="AF14" s="278" t="n"/>
      <c r="AG14" s="278" t="n"/>
    </row>
    <row r="15">
      <c r="B15" s="51" t="inlineStr">
        <is>
          <t>Other expenses</t>
        </is>
      </c>
      <c r="C15" s="287">
        <f>(Sch.!C388+Sch.!C447)/curr</f>
        <v/>
      </c>
      <c r="D15" s="287">
        <f>(Sch.!D388+Sch.!D447)/curr</f>
        <v/>
      </c>
      <c r="E15" s="287">
        <f>(Sch.!E388+Sch.!E447)/curr</f>
        <v/>
      </c>
      <c r="F15" s="287">
        <f>(Sch.!F388+Sch.!F447)/curr</f>
        <v/>
      </c>
      <c r="G15" s="288">
        <f>(Sch.!G388+Sch.!G447)/curr</f>
        <v/>
      </c>
      <c r="H15" s="226">
        <f>IFERROR(C15/C$7,0)</f>
        <v/>
      </c>
      <c r="I15" s="226">
        <f>IFERROR(D15/D$7,0)</f>
        <v/>
      </c>
      <c r="J15" s="226">
        <f>IFERROR(E15/E$7,0)</f>
        <v/>
      </c>
      <c r="K15" s="226">
        <f>IFERROR(F15/F$7,0)</f>
        <v/>
      </c>
      <c r="L15" s="227">
        <f>IFERROR(G15/G$7,0)</f>
        <v/>
      </c>
      <c r="M15" s="226">
        <f>+IFERROR((D15/C15)-1,0)</f>
        <v/>
      </c>
      <c r="N15" s="226">
        <f>+IFERROR((E15/D15)-1,0)</f>
        <v/>
      </c>
      <c r="O15" s="226">
        <f>+IFERROR((F15/E15)-1,0)</f>
        <v/>
      </c>
      <c r="P15" s="226">
        <f>+IFERROR((G15/F15)-1,0)</f>
        <v/>
      </c>
      <c r="Q15" s="278" t="n"/>
      <c r="R15" s="278" t="n"/>
      <c r="S15" s="278" t="n"/>
      <c r="T15" s="278" t="n"/>
      <c r="U15" s="278" t="n"/>
      <c r="V15" s="278" t="n"/>
      <c r="W15" s="278" t="n"/>
      <c r="X15" s="278" t="n"/>
      <c r="Y15" s="278" t="n"/>
      <c r="Z15" s="278" t="n"/>
      <c r="AA15" s="278" t="n"/>
      <c r="AB15" s="278" t="n"/>
      <c r="AC15" s="278" t="n"/>
      <c r="AD15" s="278" t="n"/>
      <c r="AE15" s="278" t="n"/>
      <c r="AF15" s="278" t="n"/>
      <c r="AG15" s="278" t="n"/>
      <c r="AH15" s="292" t="n"/>
    </row>
    <row r="16">
      <c r="B16" s="102" t="inlineStr">
        <is>
          <t>Operating EBITDA</t>
        </is>
      </c>
      <c r="C16" s="293">
        <f>C13-SUM(C14:C15)</f>
        <v/>
      </c>
      <c r="D16" s="293">
        <f>D13-SUM(D14:D15)</f>
        <v/>
      </c>
      <c r="E16" s="293">
        <f>E13-SUM(E14:E15)</f>
        <v/>
      </c>
      <c r="F16" s="293">
        <f>F13-SUM(F14:F15)</f>
        <v/>
      </c>
      <c r="G16" s="294">
        <f>G13-SUM(G14:G15)</f>
        <v/>
      </c>
      <c r="H16" s="211">
        <f>IFERROR(C16/C$7,0)</f>
        <v/>
      </c>
      <c r="I16" s="211">
        <f>IFERROR(D16/D$7,0)</f>
        <v/>
      </c>
      <c r="J16" s="211">
        <f>IFERROR(E16/E$7,0)</f>
        <v/>
      </c>
      <c r="K16" s="211">
        <f>IFERROR(F16/F$7,0)</f>
        <v/>
      </c>
      <c r="L16" s="212">
        <f>IFERROR(G16/G$7,0)</f>
        <v/>
      </c>
      <c r="M16" s="211">
        <f>+IFERROR((D16/C16)-1,0)</f>
        <v/>
      </c>
      <c r="N16" s="211">
        <f>+IFERROR((E16/D16)-1,0)</f>
        <v/>
      </c>
      <c r="O16" s="211">
        <f>+IFERROR((F16/E16)-1,0)</f>
        <v/>
      </c>
      <c r="P16" s="211">
        <f>+IFERROR((G16/F16)-1,0)</f>
        <v/>
      </c>
      <c r="Q16" s="278" t="n"/>
      <c r="R16" s="278" t="n"/>
      <c r="S16" s="278" t="n"/>
      <c r="T16" s="278" t="n"/>
      <c r="U16" s="278" t="n"/>
      <c r="V16" s="278" t="n"/>
      <c r="W16" s="278" t="n"/>
      <c r="X16" s="278" t="n"/>
      <c r="Y16" s="278" t="n"/>
      <c r="Z16" s="278" t="n"/>
      <c r="AA16" s="278" t="n"/>
      <c r="AB16" s="278" t="n"/>
      <c r="AC16" s="278" t="n"/>
      <c r="AD16" s="278" t="n"/>
      <c r="AE16" s="278" t="n"/>
      <c r="AF16" s="278" t="n"/>
      <c r="AG16" s="278" t="n"/>
      <c r="AH16" s="292" t="n"/>
    </row>
    <row r="17">
      <c r="B17" s="51" t="inlineStr">
        <is>
          <t>Depreciation</t>
        </is>
      </c>
      <c r="C17" s="287">
        <f>(Sch.!C305)/(curr)</f>
        <v/>
      </c>
      <c r="D17" s="287">
        <f>(Sch.!D305)/(curr)</f>
        <v/>
      </c>
      <c r="E17" s="287">
        <f>(Sch.!E305)/(curr)</f>
        <v/>
      </c>
      <c r="F17" s="287">
        <f>(Sch.!F305)/(curr)</f>
        <v/>
      </c>
      <c r="G17" s="288">
        <f>(Sch.!G305)/(curr)</f>
        <v/>
      </c>
      <c r="H17" s="226">
        <f>IFERROR(C17/C$7,0)</f>
        <v/>
      </c>
      <c r="I17" s="226">
        <f>IFERROR(D17/D$7,0)</f>
        <v/>
      </c>
      <c r="J17" s="226">
        <f>IFERROR(E17/E$7,0)</f>
        <v/>
      </c>
      <c r="K17" s="226">
        <f>IFERROR(F17/F$7,0)</f>
        <v/>
      </c>
      <c r="L17" s="227">
        <f>IFERROR(G17/G$7,0)</f>
        <v/>
      </c>
      <c r="M17" s="226">
        <f>+IFERROR((D17/C17)-1,0)</f>
        <v/>
      </c>
      <c r="N17" s="226">
        <f>+IFERROR((E17/D17)-1,0)</f>
        <v/>
      </c>
      <c r="O17" s="226">
        <f>+IFERROR((F17/E17)-1,0)</f>
        <v/>
      </c>
      <c r="P17" s="226">
        <f>+IFERROR((G17/F17)-1,0)</f>
        <v/>
      </c>
      <c r="Q17" s="278" t="n"/>
      <c r="R17" s="278" t="n"/>
      <c r="S17" s="278" t="n"/>
      <c r="T17" s="278" t="n"/>
      <c r="U17" s="278" t="n"/>
      <c r="V17" s="278" t="n"/>
      <c r="W17" s="278" t="n"/>
      <c r="X17" s="278" t="n"/>
      <c r="Y17" s="278" t="n"/>
      <c r="Z17" s="278" t="n"/>
      <c r="AA17" s="278" t="n"/>
      <c r="AB17" s="278" t="n"/>
      <c r="AC17" s="278" t="n"/>
      <c r="AD17" s="278" t="n"/>
      <c r="AE17" s="278" t="n"/>
      <c r="AF17" s="278" t="n"/>
      <c r="AG17" s="278" t="n"/>
    </row>
    <row r="18">
      <c r="B18" s="51" t="inlineStr">
        <is>
          <t>Finance cost</t>
        </is>
      </c>
      <c r="C18" s="281">
        <f>Sch.!C321/curr</f>
        <v/>
      </c>
      <c r="D18" s="281">
        <f>Sch.!D321/curr</f>
        <v/>
      </c>
      <c r="E18" s="281">
        <f>Sch.!E321/curr</f>
        <v/>
      </c>
      <c r="F18" s="281">
        <f>Sch.!F321/curr</f>
        <v/>
      </c>
      <c r="G18" s="282">
        <f>Sch.!G321/curr</f>
        <v/>
      </c>
      <c r="H18" s="226">
        <f>IFERROR(C18/C$7,0)</f>
        <v/>
      </c>
      <c r="I18" s="226">
        <f>IFERROR(D18/D$7,0)</f>
        <v/>
      </c>
      <c r="J18" s="226">
        <f>IFERROR(E18/E$7,0)</f>
        <v/>
      </c>
      <c r="K18" s="231">
        <f>IFERROR(F18/F$7,0)</f>
        <v/>
      </c>
      <c r="L18" s="207">
        <f>IFERROR(G18/G$7,0)</f>
        <v/>
      </c>
      <c r="M18" s="226">
        <f>+IFERROR((D18/C18)-1,0)</f>
        <v/>
      </c>
      <c r="N18" s="226">
        <f>+IFERROR((E18/D18)-1,0)</f>
        <v/>
      </c>
      <c r="O18" s="226">
        <f>+IFERROR((F18/E18)-1,0)</f>
        <v/>
      </c>
      <c r="P18" s="226">
        <f>+IFERROR((G18/F18)-1,0)</f>
        <v/>
      </c>
      <c r="Q18" s="278" t="n"/>
      <c r="R18" s="278" t="n"/>
      <c r="S18" s="278" t="n"/>
      <c r="T18" s="278" t="n"/>
      <c r="U18" s="278" t="n"/>
      <c r="V18" s="278" t="n"/>
      <c r="W18" s="278" t="n"/>
      <c r="X18" s="278" t="n"/>
      <c r="Y18" s="278" t="n"/>
      <c r="Z18" s="278" t="n"/>
      <c r="AA18" s="278" t="n"/>
      <c r="AB18" s="278" t="n"/>
      <c r="AC18" s="278" t="n"/>
      <c r="AD18" s="278" t="n"/>
      <c r="AE18" s="278" t="n"/>
      <c r="AF18" s="278" t="n"/>
      <c r="AG18" s="278" t="n"/>
    </row>
    <row r="19">
      <c r="B19" s="102" t="inlineStr">
        <is>
          <t>Operating PBT</t>
        </is>
      </c>
      <c r="C19" s="293">
        <f>C16-SUM(C17:C18)</f>
        <v/>
      </c>
      <c r="D19" s="293">
        <f>D16-SUM(D17:D18)</f>
        <v/>
      </c>
      <c r="E19" s="293">
        <f>E16-SUM(E17:E18)</f>
        <v/>
      </c>
      <c r="F19" s="293">
        <f>F16-SUM(F17:F18)</f>
        <v/>
      </c>
      <c r="G19" s="294">
        <f>G16-SUM(G17:G18)</f>
        <v/>
      </c>
      <c r="H19" s="211">
        <f>IFERROR(C19/C$7,0)</f>
        <v/>
      </c>
      <c r="I19" s="211">
        <f>IFERROR(D19/D$7,0)</f>
        <v/>
      </c>
      <c r="J19" s="211">
        <f>IFERROR(E19/E$7,0)</f>
        <v/>
      </c>
      <c r="K19" s="211">
        <f>IFERROR(F19/F$7,0)</f>
        <v/>
      </c>
      <c r="L19" s="212">
        <f>IFERROR(G19/G$7,0)</f>
        <v/>
      </c>
      <c r="M19" s="211">
        <f>+IFERROR((D19/C19)-1,0)</f>
        <v/>
      </c>
      <c r="N19" s="211">
        <f>+IFERROR((E19/D19)-1,0)</f>
        <v/>
      </c>
      <c r="O19" s="211">
        <f>+IFERROR((F19/E19)-1,0)</f>
        <v/>
      </c>
      <c r="P19" s="211">
        <f>+IFERROR((G19/F19)-1,0)</f>
        <v/>
      </c>
      <c r="Q19" s="278" t="n"/>
      <c r="R19" s="278" t="n"/>
      <c r="S19" s="278" t="n"/>
      <c r="T19" s="278" t="n"/>
      <c r="U19" s="278" t="n"/>
      <c r="V19" s="278" t="n"/>
      <c r="W19" s="278" t="n"/>
      <c r="X19" s="278" t="n"/>
      <c r="Y19" s="278" t="n"/>
      <c r="Z19" s="278" t="n"/>
      <c r="AA19" s="278" t="n"/>
      <c r="AB19" s="278" t="n"/>
      <c r="AC19" s="278" t="n"/>
      <c r="AD19" s="278" t="n"/>
      <c r="AE19" s="278" t="n"/>
      <c r="AF19" s="278" t="n"/>
      <c r="AG19" s="278" t="n"/>
    </row>
    <row r="20">
      <c r="B20" s="51" t="inlineStr">
        <is>
          <t>Non operating income</t>
        </is>
      </c>
      <c r="C20" s="287">
        <f>((Sch.!C263))/(curr)</f>
        <v/>
      </c>
      <c r="D20" s="287">
        <f>((Sch.!D263))/(curr)</f>
        <v/>
      </c>
      <c r="E20" s="287">
        <f>((Sch.!E263))/(curr)</f>
        <v/>
      </c>
      <c r="F20" s="287">
        <f>((Sch.!F263))/(curr)</f>
        <v/>
      </c>
      <c r="G20" s="288">
        <f>((Sch.!G263))/(curr)</f>
        <v/>
      </c>
      <c r="H20" s="226">
        <f>IFERROR(C20/C$7,0)</f>
        <v/>
      </c>
      <c r="I20" s="226">
        <f>IFERROR(D20/D$7,0)</f>
        <v/>
      </c>
      <c r="J20" s="226">
        <f>IFERROR(E20/E$7,0)</f>
        <v/>
      </c>
      <c r="K20" s="226">
        <f>IFERROR(F20/F$7,0)</f>
        <v/>
      </c>
      <c r="L20" s="227">
        <f>IFERROR(G20/G$7,0)</f>
        <v/>
      </c>
      <c r="M20" s="226">
        <f>+IFERROR((D20/C20)-1,0)</f>
        <v/>
      </c>
      <c r="N20" s="226">
        <f>+IFERROR((E20/D20)-1,0)</f>
        <v/>
      </c>
      <c r="O20" s="226">
        <f>+IFERROR((F20/E20)-1,0)</f>
        <v/>
      </c>
      <c r="P20" s="226">
        <f>+IFERROR((G20/F20)-1,0)</f>
        <v/>
      </c>
      <c r="Q20" s="278" t="n"/>
      <c r="R20" s="278" t="n"/>
      <c r="S20" s="278" t="n"/>
      <c r="T20" s="278" t="n"/>
      <c r="U20" s="278" t="n"/>
      <c r="V20" s="278" t="n"/>
      <c r="W20" s="278" t="n"/>
      <c r="X20" s="278" t="n"/>
      <c r="Y20" s="278" t="n"/>
      <c r="Z20" s="278" t="n"/>
      <c r="AA20" s="278" t="n"/>
      <c r="AB20" s="278" t="n"/>
      <c r="AC20" s="278" t="n"/>
      <c r="AD20" s="278" t="n"/>
      <c r="AE20" s="278" t="n"/>
      <c r="AF20" s="278" t="n"/>
      <c r="AG20" s="278" t="n"/>
    </row>
    <row r="21">
      <c r="B21" s="175" t="inlineStr">
        <is>
          <t>Tax expense</t>
        </is>
      </c>
      <c r="C21" s="295">
        <f>Sch.!C333/curr</f>
        <v/>
      </c>
      <c r="D21" s="295">
        <f>Sch.!D333/curr</f>
        <v/>
      </c>
      <c r="E21" s="295">
        <f>Sch.!E333/curr</f>
        <v/>
      </c>
      <c r="F21" s="295">
        <f>Sch.!F333/curr</f>
        <v/>
      </c>
      <c r="G21" s="296">
        <f>Sch.!G333/curr</f>
        <v/>
      </c>
      <c r="H21" s="226">
        <f>IFERROR(C21/C$7,0)</f>
        <v/>
      </c>
      <c r="I21" s="226">
        <f>IFERROR(D21/D$7,0)</f>
        <v/>
      </c>
      <c r="J21" s="226">
        <f>IFERROR(E21/E$7,0)</f>
        <v/>
      </c>
      <c r="K21" s="226">
        <f>IFERROR(F21/F$7,0)</f>
        <v/>
      </c>
      <c r="L21" s="227">
        <f>IFERROR(G21/G$7,0)</f>
        <v/>
      </c>
      <c r="M21" s="226">
        <f>+IFERROR((D21/C21)-1,0)</f>
        <v/>
      </c>
      <c r="N21" s="226">
        <f>+IFERROR((E21/D21)-1,0)</f>
        <v/>
      </c>
      <c r="O21" s="226">
        <f>+IFERROR((F21/E21)-1,0)</f>
        <v/>
      </c>
      <c r="P21" s="226">
        <f>+IFERROR((G21/F21)-1,0)</f>
        <v/>
      </c>
      <c r="Q21" s="278" t="n"/>
      <c r="R21" s="278" t="n"/>
      <c r="S21" s="278" t="n"/>
      <c r="T21" s="278" t="n"/>
      <c r="U21" s="278" t="n"/>
      <c r="V21" s="278" t="n"/>
      <c r="W21" s="278" t="n"/>
      <c r="X21" s="278" t="n"/>
      <c r="Y21" s="278" t="n"/>
      <c r="Z21" s="278" t="n"/>
      <c r="AA21" s="278" t="n"/>
      <c r="AB21" s="278" t="n"/>
      <c r="AC21" s="278" t="n"/>
      <c r="AD21" s="278" t="n"/>
      <c r="AE21" s="278" t="n"/>
      <c r="AF21" s="278" t="n"/>
      <c r="AG21" s="278" t="n"/>
    </row>
    <row r="22" ht="16.5" customHeight="1" thickBot="1">
      <c r="B22" s="103" t="inlineStr">
        <is>
          <t>PAT</t>
        </is>
      </c>
      <c r="C22" s="297">
        <f>C19+C20-C21</f>
        <v/>
      </c>
      <c r="D22" s="297">
        <f>D19+D20-D21</f>
        <v/>
      </c>
      <c r="E22" s="297">
        <f>E19+E20-E21</f>
        <v/>
      </c>
      <c r="F22" s="297">
        <f>F19+F20-F21</f>
        <v/>
      </c>
      <c r="G22" s="298">
        <f>G19+G20-G21</f>
        <v/>
      </c>
      <c r="H22" s="236">
        <f>IFERROR(C22/C$7,0)</f>
        <v/>
      </c>
      <c r="I22" s="236">
        <f>IFERROR(D22/D$7,0)</f>
        <v/>
      </c>
      <c r="J22" s="236">
        <f>IFERROR(E22/E$7,0)</f>
        <v/>
      </c>
      <c r="K22" s="236">
        <f>IFERROR(F22/F$7,0)</f>
        <v/>
      </c>
      <c r="L22" s="237">
        <f>IFERROR(G22/G$7,0)</f>
        <v/>
      </c>
      <c r="M22" s="236">
        <f>+IFERROR((D22/C22)-1,0)</f>
        <v/>
      </c>
      <c r="N22" s="236">
        <f>+IFERROR((E22/D22)-1,0)</f>
        <v/>
      </c>
      <c r="O22" s="236">
        <f>+IFERROR((F22/E22)-1,0)</f>
        <v/>
      </c>
      <c r="P22" s="236">
        <f>+IFERROR((G22/F22)-1,0)</f>
        <v/>
      </c>
      <c r="Q22" s="278" t="n"/>
      <c r="R22" s="278" t="n"/>
      <c r="S22" s="278" t="n"/>
      <c r="T22" s="278" t="n"/>
      <c r="U22" s="278" t="n"/>
      <c r="V22" s="278" t="n"/>
      <c r="W22" s="278" t="n"/>
      <c r="X22" s="278" t="n"/>
      <c r="Y22" s="278" t="n"/>
      <c r="Z22" s="278" t="n"/>
      <c r="AA22" s="278" t="n"/>
      <c r="AB22" s="278" t="n"/>
      <c r="AC22" s="278" t="n"/>
      <c r="AD22" s="278" t="n"/>
      <c r="AE22" s="278" t="n"/>
      <c r="AF22" s="278" t="n"/>
      <c r="AG22" s="278" t="n"/>
    </row>
    <row r="23">
      <c r="B23" s="238" t="n"/>
      <c r="C23" s="299" t="n"/>
      <c r="D23" s="299" t="n"/>
      <c r="E23" s="299" t="n"/>
      <c r="F23" s="299" t="n"/>
      <c r="G23" s="299" t="n"/>
      <c r="H23" s="241" t="n"/>
      <c r="I23" s="241" t="n"/>
      <c r="J23" s="241" t="n"/>
      <c r="K23" s="241" t="n"/>
      <c r="L23" s="241" t="n"/>
      <c r="M23" s="238" t="n"/>
      <c r="Q23" s="278" t="n"/>
      <c r="R23" s="278" t="n"/>
      <c r="S23" s="278" t="n"/>
      <c r="T23" s="278" t="n"/>
      <c r="U23" s="278" t="n"/>
      <c r="V23" s="278" t="n"/>
      <c r="W23" s="278" t="n"/>
      <c r="X23" s="278" t="n"/>
      <c r="Y23" s="278" t="n"/>
      <c r="Z23" s="278" t="n"/>
      <c r="AA23" s="278" t="n"/>
      <c r="AB23" s="278" t="n"/>
      <c r="AC23" s="278" t="n"/>
      <c r="AD23" s="278" t="n"/>
      <c r="AE23" s="278" t="n"/>
      <c r="AF23" s="278" t="n"/>
      <c r="AG23" s="278" t="n"/>
      <c r="AH23" s="278" t="n"/>
    </row>
    <row r="24">
      <c r="B24" s="181" t="inlineStr">
        <is>
          <t>As per financials</t>
        </is>
      </c>
      <c r="C24" s="300" t="n"/>
      <c r="D24" s="300" t="n"/>
      <c r="E24" s="271" t="n"/>
      <c r="F24" s="300" t="n"/>
      <c r="G24" s="300" t="n"/>
    </row>
    <row r="25">
      <c r="B25" s="243" t="inlineStr">
        <is>
          <t>Difference</t>
        </is>
      </c>
      <c r="C25" s="301">
        <f>C22-C24</f>
        <v/>
      </c>
      <c r="D25" s="301">
        <f>D22-D24</f>
        <v/>
      </c>
      <c r="E25" s="301">
        <f>E22-E24</f>
        <v/>
      </c>
      <c r="F25" s="301">
        <f>F22-F24</f>
        <v/>
      </c>
      <c r="G25" s="301">
        <f>G22-G24</f>
        <v/>
      </c>
    </row>
  </sheetData>
  <dataValidations count="1">
    <dataValidation sqref="B4" showDropDown="0" showInputMessage="1" showErrorMessage="1" allowBlank="1" type="list">
      <formula1>$AH$5:$AH$7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2:G40"/>
  <sheetViews>
    <sheetView showGridLines="0" zoomScale="86" zoomScaleNormal="86" workbookViewId="0">
      <selection activeCell="G5" sqref="G5"/>
    </sheetView>
  </sheetViews>
  <sheetFormatPr baseColWidth="8" defaultColWidth="8.453125" defaultRowHeight="15" customHeight="1"/>
  <cols>
    <col width="3" bestFit="1" customWidth="1" style="302" min="1" max="1"/>
    <col width="32.54296875" customWidth="1" style="302" min="2" max="2"/>
    <col width="11.1796875" bestFit="1" customWidth="1" style="302" min="3" max="6"/>
    <col width="13.6328125" bestFit="1" customWidth="1" style="302" min="7" max="7"/>
    <col width="8.453125" customWidth="1" style="302" min="8" max="16384"/>
  </cols>
  <sheetData>
    <row r="2" ht="15" customHeight="1">
      <c r="B2" s="100">
        <f>IS!B2</f>
        <v/>
      </c>
      <c r="C2" s="302" t="n"/>
    </row>
    <row r="3" ht="15" customHeight="1">
      <c r="B3" s="54" t="inlineStr">
        <is>
          <t xml:space="preserve">Balance sheet </t>
        </is>
      </c>
    </row>
    <row r="4" ht="15" customHeight="1">
      <c r="B4" s="60">
        <f>IS!B4</f>
        <v/>
      </c>
    </row>
    <row r="5" ht="15" customHeight="1">
      <c r="B5" s="151" t="inlineStr">
        <is>
          <t>Particulars</t>
        </is>
      </c>
      <c r="C5" s="303" t="inlineStr">
        <is>
          <t>31 Mar 22</t>
        </is>
      </c>
      <c r="D5" s="303" t="inlineStr">
        <is>
          <t>31 Mar 23</t>
        </is>
      </c>
      <c r="E5" s="303" t="inlineStr">
        <is>
          <t>31 Mar 24</t>
        </is>
      </c>
      <c r="F5" s="303" t="inlineStr">
        <is>
          <t>31 Mar 25</t>
        </is>
      </c>
      <c r="G5" s="303" t="inlineStr">
        <is>
          <t>31 Mar 26</t>
        </is>
      </c>
    </row>
    <row r="6" ht="15" customHeight="1">
      <c r="B6" s="148" t="inlineStr">
        <is>
          <t>Equity &amp; liabilities</t>
        </is>
      </c>
      <c r="C6" s="304" t="n"/>
      <c r="D6" s="304" t="n"/>
      <c r="E6" s="305" t="n"/>
      <c r="F6" s="305" t="n"/>
      <c r="G6" s="305" t="n"/>
    </row>
    <row r="7" ht="15" customHeight="1">
      <c r="B7" s="54" t="inlineStr">
        <is>
          <t>Shareholder's fund</t>
        </is>
      </c>
      <c r="C7" s="306" t="n"/>
      <c r="D7" s="306" t="n"/>
      <c r="E7" s="305" t="n"/>
      <c r="F7" s="305" t="n"/>
      <c r="G7" s="305" t="n"/>
    </row>
    <row r="8" ht="15" customHeight="1">
      <c r="B8" s="160" t="inlineStr">
        <is>
          <t>Share capital</t>
        </is>
      </c>
      <c r="C8" s="271">
        <f>((Sch.!C11))/(curr)</f>
        <v/>
      </c>
      <c r="D8" s="271">
        <f>((Sch.!D11))/(curr)</f>
        <v/>
      </c>
      <c r="E8" s="271">
        <f>((Sch.!E11))/(curr)</f>
        <v/>
      </c>
      <c r="F8" s="271">
        <f>((Sch.!F11))/(curr)</f>
        <v/>
      </c>
      <c r="G8" s="271">
        <f>((Sch.!G11))/(curr)</f>
        <v/>
      </c>
    </row>
    <row r="9" ht="15" customHeight="1">
      <c r="B9" s="160" t="inlineStr">
        <is>
          <t>Reserves and surplus</t>
        </is>
      </c>
      <c r="C9" s="271">
        <f>(Sch.!C22)/(curr)</f>
        <v/>
      </c>
      <c r="D9" s="271">
        <f>(Sch.!D22)/(curr)</f>
        <v/>
      </c>
      <c r="E9" s="271">
        <f>(Sch.!E22)/(curr)</f>
        <v/>
      </c>
      <c r="F9" s="271">
        <f>(Sch.!F22)/(curr)</f>
        <v/>
      </c>
      <c r="G9" s="271">
        <f>(Sch.!G22)/(curr)</f>
        <v/>
      </c>
    </row>
    <row r="10" ht="15" customHeight="1">
      <c r="B10" s="56" t="inlineStr">
        <is>
          <t>Net worth</t>
        </is>
      </c>
      <c r="C10" s="307">
        <f>SUM(C8:C9)</f>
        <v/>
      </c>
      <c r="D10" s="307">
        <f>SUM(D8:D9)</f>
        <v/>
      </c>
      <c r="E10" s="307">
        <f>SUM(E8:E9)</f>
        <v/>
      </c>
      <c r="F10" s="307">
        <f>SUM(F8:F9)</f>
        <v/>
      </c>
      <c r="G10" s="307">
        <f>SUM(G8:G9)</f>
        <v/>
      </c>
    </row>
    <row r="11" ht="15" customHeight="1">
      <c r="B11" s="161" t="inlineStr">
        <is>
          <t>Long-term borrowings</t>
        </is>
      </c>
      <c r="C11" s="271">
        <f>Sch.!C43/curr</f>
        <v/>
      </c>
      <c r="D11" s="271">
        <f>Sch.!D43/curr</f>
        <v/>
      </c>
      <c r="E11" s="271">
        <f>Sch.!E43/curr</f>
        <v/>
      </c>
      <c r="F11" s="271">
        <f>Sch.!F43/curr</f>
        <v/>
      </c>
      <c r="G11" s="271">
        <f>Sch.!G43/curr</f>
        <v/>
      </c>
    </row>
    <row r="12" ht="15" customHeight="1">
      <c r="B12" s="161" t="inlineStr">
        <is>
          <t>Short-term borrowings</t>
        </is>
      </c>
      <c r="C12" s="271">
        <f>Sch.!C69/curr</f>
        <v/>
      </c>
      <c r="D12" s="271">
        <f>Sch.!D69/curr</f>
        <v/>
      </c>
      <c r="E12" s="271">
        <f>Sch.!E69/curr</f>
        <v/>
      </c>
      <c r="F12" s="271">
        <f>Sch.!F69/curr</f>
        <v/>
      </c>
      <c r="G12" s="271">
        <f>Sch.!G69/curr</f>
        <v/>
      </c>
    </row>
    <row r="13" ht="15" customHeight="1">
      <c r="B13" s="116" t="inlineStr">
        <is>
          <t>Borrowings</t>
        </is>
      </c>
      <c r="C13" s="307">
        <f>SUM(C11:C12)</f>
        <v/>
      </c>
      <c r="D13" s="307">
        <f>SUM(D11:D12)</f>
        <v/>
      </c>
      <c r="E13" s="307">
        <f>SUM(E11:E12)</f>
        <v/>
      </c>
      <c r="F13" s="307">
        <f>SUM(F11:F12)</f>
        <v/>
      </c>
      <c r="G13" s="307">
        <f>SUM(G11:G12)</f>
        <v/>
      </c>
    </row>
    <row r="14" ht="15" customHeight="1" thickBot="1">
      <c r="B14" s="104" t="inlineStr">
        <is>
          <t>Total</t>
        </is>
      </c>
      <c r="C14" s="308">
        <f>C10+C13</f>
        <v/>
      </c>
      <c r="D14" s="308">
        <f>D10+D13</f>
        <v/>
      </c>
      <c r="E14" s="308">
        <f>E10+E13</f>
        <v/>
      </c>
      <c r="F14" s="308">
        <f>F10+F13</f>
        <v/>
      </c>
      <c r="G14" s="308">
        <f>G10+G13</f>
        <v/>
      </c>
    </row>
    <row r="15" ht="15" customHeight="1">
      <c r="B15" s="148" t="inlineStr">
        <is>
          <t>Assets</t>
        </is>
      </c>
      <c r="C15" s="304" t="n"/>
      <c r="D15" s="304" t="n"/>
      <c r="E15" s="305" t="n"/>
      <c r="F15" s="305" t="n"/>
      <c r="G15" s="305" t="n"/>
    </row>
    <row r="16" ht="15" customHeight="1">
      <c r="B16" s="98" t="inlineStr">
        <is>
          <t>Tangible assets</t>
        </is>
      </c>
      <c r="C16" s="271">
        <f>Sch.!C128/curr</f>
        <v/>
      </c>
      <c r="D16" s="271">
        <f>Sch.!D128/curr</f>
        <v/>
      </c>
      <c r="E16" s="271">
        <f>Sch.!E128/curr</f>
        <v/>
      </c>
      <c r="F16" s="271">
        <f>Sch.!F128/curr</f>
        <v/>
      </c>
      <c r="G16" s="271">
        <f>Sch.!G128/curr</f>
        <v/>
      </c>
    </row>
    <row r="17" ht="15" customHeight="1">
      <c r="B17" s="98" t="inlineStr">
        <is>
          <t>Deferred tax assets (net)</t>
        </is>
      </c>
      <c r="C17" s="271">
        <f>Sch.!C199/curr</f>
        <v/>
      </c>
      <c r="D17" s="271">
        <f>Sch.!D199/curr</f>
        <v/>
      </c>
      <c r="E17" s="271">
        <f>Sch.!E199/curr</f>
        <v/>
      </c>
      <c r="F17" s="271">
        <f>Sch.!F199/curr</f>
        <v/>
      </c>
      <c r="G17" s="271">
        <f>Sch.!G199/curr</f>
        <v/>
      </c>
    </row>
    <row r="18" ht="15" customHeight="1">
      <c r="B18" s="98" t="inlineStr">
        <is>
          <t>Current and non-current investments</t>
        </is>
      </c>
      <c r="C18" s="271">
        <f>Sch.!C154/curr</f>
        <v/>
      </c>
      <c r="D18" s="271">
        <f>Sch.!D154/curr</f>
        <v/>
      </c>
      <c r="E18" s="271">
        <f>Sch.!E154/curr</f>
        <v/>
      </c>
      <c r="F18" s="271">
        <f>Sch.!F154/curr</f>
        <v/>
      </c>
      <c r="G18" s="271">
        <f>Sch.!G154/curr</f>
        <v/>
      </c>
    </row>
    <row r="19" ht="15" customHeight="1">
      <c r="B19" s="160" t="inlineStr">
        <is>
          <t>Cash and cash equivalents</t>
        </is>
      </c>
      <c r="C19" s="271">
        <f>((Sch.!C193))/(curr)</f>
        <v/>
      </c>
      <c r="D19" s="271">
        <f>((Sch.!D193))/(curr)</f>
        <v/>
      </c>
      <c r="E19" s="271">
        <f>((Sch.!E193))/(curr)</f>
        <v/>
      </c>
      <c r="F19" s="271">
        <f>((Sch.!F193))/(curr)</f>
        <v/>
      </c>
      <c r="G19" s="271">
        <f>((Sch.!G193))/(curr)</f>
        <v/>
      </c>
    </row>
    <row r="20" ht="15" customHeight="1">
      <c r="B20" s="309" t="inlineStr">
        <is>
          <t>Current assets</t>
        </is>
      </c>
      <c r="C20" s="271" t="n"/>
      <c r="D20" s="271" t="n"/>
      <c r="E20" s="271" t="n"/>
      <c r="F20" s="271" t="n"/>
      <c r="G20" s="271" t="n"/>
    </row>
    <row r="21" ht="15" customHeight="1">
      <c r="B21" s="160" t="inlineStr">
        <is>
          <t>Trade receivables</t>
        </is>
      </c>
      <c r="C21" s="271">
        <f>((Sch.!C166))/(curr)</f>
        <v/>
      </c>
      <c r="D21" s="271">
        <f>((Sch.!D166))/(curr)</f>
        <v/>
      </c>
      <c r="E21" s="271">
        <f>((Sch.!E166))/(curr)</f>
        <v/>
      </c>
      <c r="F21" s="271">
        <f>((Sch.!F166))/(curr)</f>
        <v/>
      </c>
      <c r="G21" s="271">
        <f>((Sch.!G166))/(curr)</f>
        <v/>
      </c>
    </row>
    <row r="22" ht="15" customHeight="1">
      <c r="B22" s="160" t="inlineStr">
        <is>
          <t>Inventories</t>
        </is>
      </c>
      <c r="C22" s="271">
        <f>Sch.!C180/curr</f>
        <v/>
      </c>
      <c r="D22" s="271">
        <f>Sch.!D180/curr</f>
        <v/>
      </c>
      <c r="E22" s="271">
        <f>Sch.!E180/curr</f>
        <v/>
      </c>
      <c r="F22" s="271">
        <f>Sch.!F180/curr</f>
        <v/>
      </c>
      <c r="G22" s="271">
        <f>Sch.!G180/curr</f>
        <v/>
      </c>
    </row>
    <row r="23" ht="15" customHeight="1">
      <c r="B23" s="98" t="inlineStr">
        <is>
          <t>Long-term loans and advances</t>
        </is>
      </c>
      <c r="C23" s="271">
        <f>Sch.!C143/curr</f>
        <v/>
      </c>
      <c r="D23" s="271">
        <f>Sch.!D143/curr</f>
        <v/>
      </c>
      <c r="E23" s="271">
        <f>Sch.!E143/curr</f>
        <v/>
      </c>
      <c r="F23" s="271">
        <f>Sch.!F143/curr</f>
        <v/>
      </c>
      <c r="G23" s="271">
        <f>Sch.!G143/curr</f>
        <v/>
      </c>
    </row>
    <row r="24" ht="15" customHeight="1">
      <c r="B24" s="160" t="inlineStr">
        <is>
          <t>Short term loan and advances</t>
        </is>
      </c>
      <c r="C24" s="271">
        <f>(Sch.!C216)/(curr)</f>
        <v/>
      </c>
      <c r="D24" s="271">
        <f>(Sch.!D216)/(curr)</f>
        <v/>
      </c>
      <c r="E24" s="271">
        <f>(Sch.!E216)/(curr)</f>
        <v/>
      </c>
      <c r="F24" s="271">
        <f>(Sch.!F216)/(curr)</f>
        <v/>
      </c>
      <c r="G24" s="271">
        <f>(Sch.!G216)/(curr)</f>
        <v/>
      </c>
    </row>
    <row r="25" ht="15" customHeight="1">
      <c r="B25" s="160" t="inlineStr">
        <is>
          <t>Other current assets</t>
        </is>
      </c>
      <c r="C25" s="271">
        <f>(Sch.!C233)/(curr)</f>
        <v/>
      </c>
      <c r="D25" s="271">
        <f>(Sch.!D233)/(curr)</f>
        <v/>
      </c>
      <c r="E25" s="271">
        <f>(Sch.!E233)/(curr)</f>
        <v/>
      </c>
      <c r="F25" s="271">
        <f>(Sch.!F233)/(curr)</f>
        <v/>
      </c>
      <c r="G25" s="271">
        <f>(Sch.!G233)/(curr)</f>
        <v/>
      </c>
    </row>
    <row r="26" ht="15" customFormat="1" customHeight="1" s="310">
      <c r="B26" s="162" t="inlineStr">
        <is>
          <t>Current assets</t>
        </is>
      </c>
      <c r="C26" s="311">
        <f>SUM(C21:C25)</f>
        <v/>
      </c>
      <c r="D26" s="311">
        <f>SUM(D21:D25)</f>
        <v/>
      </c>
      <c r="E26" s="311">
        <f>SUM(E21:E25)</f>
        <v/>
      </c>
      <c r="F26" s="311">
        <f>SUM(F21:F25)</f>
        <v/>
      </c>
      <c r="G26" s="311">
        <f>SUM(G21:G25)</f>
        <v/>
      </c>
    </row>
    <row r="27" ht="15" customFormat="1" customHeight="1" s="310">
      <c r="B27" s="312" t="inlineStr">
        <is>
          <t>Current Liabilities</t>
        </is>
      </c>
      <c r="C27" s="313" t="n"/>
      <c r="D27" s="313" t="n"/>
      <c r="E27" s="313" t="n"/>
      <c r="F27" s="313" t="n"/>
      <c r="G27" s="313" t="n"/>
    </row>
    <row r="28" ht="15" customHeight="1">
      <c r="B28" s="161" t="inlineStr">
        <is>
          <t>Trade payables</t>
        </is>
      </c>
      <c r="C28" s="271">
        <f>(Sch.!C55)/(curr)</f>
        <v/>
      </c>
      <c r="D28" s="271">
        <f>(Sch.!D55)/(curr)</f>
        <v/>
      </c>
      <c r="E28" s="271">
        <f>(Sch.!E55)/(curr)</f>
        <v/>
      </c>
      <c r="F28" s="271">
        <f>(Sch.!F55)/(curr)</f>
        <v/>
      </c>
      <c r="G28" s="271">
        <f>(Sch.!G55)/(curr)</f>
        <v/>
      </c>
    </row>
    <row r="29" ht="15" customHeight="1">
      <c r="B29" s="67" t="inlineStr">
        <is>
          <t>Other current liabilities</t>
        </is>
      </c>
      <c r="C29" s="271">
        <f>(Sch.!C103)/(curr)</f>
        <v/>
      </c>
      <c r="D29" s="271">
        <f>(Sch.!D103)/(curr)</f>
        <v/>
      </c>
      <c r="E29" s="271">
        <f>(Sch.!E103)/(curr)</f>
        <v/>
      </c>
      <c r="F29" s="271">
        <f>(Sch.!F103)/(curr)</f>
        <v/>
      </c>
      <c r="G29" s="271">
        <f>(Sch.!G103)/(curr)</f>
        <v/>
      </c>
    </row>
    <row r="30" ht="15" customHeight="1">
      <c r="B30" s="161" t="inlineStr">
        <is>
          <t>Long-term provisions</t>
        </is>
      </c>
      <c r="C30" s="271">
        <f>Sch.!C31/curr</f>
        <v/>
      </c>
      <c r="D30" s="271">
        <f>Sch.!D31/curr</f>
        <v/>
      </c>
      <c r="E30" s="271">
        <f>Sch.!E31/curr</f>
        <v/>
      </c>
      <c r="F30" s="271">
        <f>Sch.!F31/curr</f>
        <v/>
      </c>
      <c r="G30" s="271">
        <f>Sch.!G31/curr</f>
        <v/>
      </c>
    </row>
    <row r="31" ht="15" customHeight="1">
      <c r="B31" s="161" t="inlineStr">
        <is>
          <t>Short-term provisions</t>
        </is>
      </c>
      <c r="C31" s="271">
        <f>(Sch.!C82)/(curr)</f>
        <v/>
      </c>
      <c r="D31" s="271">
        <f>(Sch.!D82)/(curr)</f>
        <v/>
      </c>
      <c r="E31" s="271">
        <f>(Sch.!E82)/(curr)</f>
        <v/>
      </c>
      <c r="F31" s="271">
        <f>(Sch.!F82)/(curr)</f>
        <v/>
      </c>
      <c r="G31" s="271">
        <f>(Sch.!G82)/(curr)</f>
        <v/>
      </c>
    </row>
    <row r="32" ht="15" customFormat="1" customHeight="1" s="310">
      <c r="B32" s="164" t="inlineStr">
        <is>
          <t>Current liabilities</t>
        </is>
      </c>
      <c r="C32" s="314">
        <f>SUM(C28:C31)</f>
        <v/>
      </c>
      <c r="D32" s="314">
        <f>SUM(D28:D31)</f>
        <v/>
      </c>
      <c r="E32" s="314">
        <f>SUM(E28:E31)</f>
        <v/>
      </c>
      <c r="F32" s="314">
        <f>SUM(F28:F31)</f>
        <v/>
      </c>
      <c r="G32" s="314">
        <f>SUM(G28:G31)</f>
        <v/>
      </c>
    </row>
    <row r="33" ht="15" customHeight="1">
      <c r="B33" s="116" t="inlineStr">
        <is>
          <t>Net current assets</t>
        </is>
      </c>
      <c r="C33" s="307">
        <f>C26-C32</f>
        <v/>
      </c>
      <c r="D33" s="307">
        <f>D26-D32</f>
        <v/>
      </c>
      <c r="E33" s="307">
        <f>E26-E32</f>
        <v/>
      </c>
      <c r="F33" s="307">
        <f>F26-F32</f>
        <v/>
      </c>
      <c r="G33" s="307">
        <f>G26-G32</f>
        <v/>
      </c>
    </row>
    <row r="34" ht="15" customHeight="1" thickBot="1">
      <c r="B34" s="104" t="inlineStr">
        <is>
          <t>Total</t>
        </is>
      </c>
      <c r="C34" s="308">
        <f>SUM(C16:C19,C33)</f>
        <v/>
      </c>
      <c r="D34" s="308">
        <f>SUM(D16:D19,D33)</f>
        <v/>
      </c>
      <c r="E34" s="308">
        <f>SUM(E16:E19,E33)</f>
        <v/>
      </c>
      <c r="F34" s="308">
        <f>SUM(F16:F19,F33)</f>
        <v/>
      </c>
      <c r="G34" s="308">
        <f>SUM(G16:G19,G33)</f>
        <v/>
      </c>
    </row>
    <row r="36" ht="15" customHeight="1">
      <c r="B36" s="315" t="inlineStr">
        <is>
          <t>Check</t>
        </is>
      </c>
      <c r="C36" s="316">
        <f>C14-C34</f>
        <v/>
      </c>
      <c r="D36" s="316">
        <f>D14-D34</f>
        <v/>
      </c>
      <c r="E36" s="316">
        <f>E14-E34</f>
        <v/>
      </c>
      <c r="F36" s="316">
        <f>F14-F34</f>
        <v/>
      </c>
      <c r="G36" s="316">
        <f>G14-G34</f>
        <v/>
      </c>
    </row>
    <row r="37" ht="15" customHeight="1">
      <c r="C37" s="302" t="n"/>
      <c r="D37" s="302" t="n"/>
    </row>
    <row r="38" ht="15" customHeight="1">
      <c r="C38" s="302" t="n"/>
      <c r="D38" s="302" t="n"/>
    </row>
    <row r="39" ht="15" customHeight="1">
      <c r="C39" s="302" t="n"/>
      <c r="D39" s="302" t="n"/>
    </row>
    <row r="40" ht="15" customHeight="1">
      <c r="C40" s="302" t="n"/>
      <c r="D40" s="302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topLeftCell="A8" zoomScale="96" zoomScaleNormal="57" workbookViewId="0">
      <selection activeCell="C24" sqref="C24"/>
    </sheetView>
  </sheetViews>
  <sheetFormatPr baseColWidth="8" defaultColWidth="8.453125" defaultRowHeight="16"/>
  <cols>
    <col width="3" customWidth="1" style="7" min="1" max="1"/>
    <col width="47.453125" bestFit="1" customWidth="1" style="7" min="2" max="2"/>
    <col width="7.81640625" bestFit="1" customWidth="1" style="317" min="3" max="4"/>
    <col width="7.36328125" bestFit="1" customWidth="1" style="317" min="5" max="5"/>
    <col width="8.453125" customWidth="1" style="7" min="6" max="16384"/>
  </cols>
  <sheetData>
    <row r="2">
      <c r="B2" s="9">
        <f>IS!B2</f>
        <v/>
      </c>
    </row>
    <row r="3">
      <c r="B3" s="9" t="inlineStr">
        <is>
          <t>Cashflow statements</t>
        </is>
      </c>
    </row>
    <row r="4">
      <c r="B4" s="12">
        <f>IS!B4</f>
        <v/>
      </c>
    </row>
    <row r="5" ht="14.5" customHeight="1">
      <c r="B5" s="149" t="inlineStr">
        <is>
          <t>Particulars</t>
        </is>
      </c>
      <c r="C5" s="318">
        <f>IS!D5</f>
        <v/>
      </c>
      <c r="D5" s="318">
        <f>IS!E5</f>
        <v/>
      </c>
      <c r="E5" s="318">
        <f>IS!F5</f>
        <v/>
      </c>
      <c r="F5" s="318">
        <f>IS!G5</f>
        <v/>
      </c>
    </row>
    <row r="6">
      <c r="B6" s="9" t="inlineStr">
        <is>
          <t>Cashflow from operating activities</t>
        </is>
      </c>
      <c r="F6" s="317" t="n"/>
    </row>
    <row r="7">
      <c r="B7" s="15" t="inlineStr">
        <is>
          <t xml:space="preserve">Net profit after tax </t>
        </is>
      </c>
      <c r="C7" s="319">
        <f>IS!D22</f>
        <v/>
      </c>
      <c r="D7" s="319">
        <f>IS!E22</f>
        <v/>
      </c>
      <c r="E7" s="319">
        <f>IS!F22</f>
        <v/>
      </c>
      <c r="F7" s="319">
        <f>IS!G22</f>
        <v/>
      </c>
    </row>
    <row r="8">
      <c r="B8" s="14" t="inlineStr">
        <is>
          <t>Depreciation</t>
        </is>
      </c>
      <c r="C8" s="319">
        <f>IS!D17</f>
        <v/>
      </c>
      <c r="D8" s="319">
        <f>IS!E17</f>
        <v/>
      </c>
      <c r="E8" s="319">
        <f>IS!F17</f>
        <v/>
      </c>
      <c r="F8" s="319">
        <f>IS!G17</f>
        <v/>
      </c>
    </row>
    <row r="9">
      <c r="B9" s="10" t="inlineStr">
        <is>
          <t>Operating profit before working capital changes</t>
        </is>
      </c>
      <c r="C9" s="320">
        <f>SUM(C7:C8)</f>
        <v/>
      </c>
      <c r="D9" s="320">
        <f>SUM(D7:D8)</f>
        <v/>
      </c>
      <c r="E9" s="320">
        <f>SUM(E7:E8)</f>
        <v/>
      </c>
      <c r="F9" s="320">
        <f>SUM(F7:F8)</f>
        <v/>
      </c>
    </row>
    <row r="10">
      <c r="B10" s="14" t="inlineStr">
        <is>
          <t>(Increase)/decrease in receivables</t>
        </is>
      </c>
      <c r="C10" s="319">
        <f>BS!C21-BS!D21</f>
        <v/>
      </c>
      <c r="D10" s="319">
        <f>BS!D21-BS!E21</f>
        <v/>
      </c>
      <c r="E10" s="319">
        <f>BS!E21-BS!F21</f>
        <v/>
      </c>
      <c r="F10" s="319">
        <f>BS!F21-BS!G21</f>
        <v/>
      </c>
    </row>
    <row r="11">
      <c r="B11" s="321" t="inlineStr">
        <is>
          <t>(Increase)/decrease in short term loans and advances</t>
        </is>
      </c>
      <c r="C11" s="319">
        <f>+BS!C24-BS!D24</f>
        <v/>
      </c>
      <c r="D11" s="319">
        <f>+BS!D24-BS!E24</f>
        <v/>
      </c>
      <c r="E11" s="319">
        <f>+BS!E24-BS!F24</f>
        <v/>
      </c>
      <c r="F11" s="319">
        <f>+BS!F24-BS!G24</f>
        <v/>
      </c>
    </row>
    <row r="12">
      <c r="B12" s="321" t="inlineStr">
        <is>
          <t>(Increase)/decrease in other current assets</t>
        </is>
      </c>
      <c r="C12" s="319">
        <f>BS!C25-BS!D25</f>
        <v/>
      </c>
      <c r="D12" s="319">
        <f>BS!D25-BS!E25</f>
        <v/>
      </c>
      <c r="E12" s="319">
        <f>BS!E25-BS!F25</f>
        <v/>
      </c>
      <c r="F12" s="319">
        <f>BS!F25-BS!G25</f>
        <v/>
      </c>
    </row>
    <row r="13">
      <c r="B13" s="14" t="inlineStr">
        <is>
          <t>(Increase)/decrease in inventories</t>
        </is>
      </c>
      <c r="C13" s="319">
        <f>BS!C22-BS!D22</f>
        <v/>
      </c>
      <c r="D13" s="319">
        <f>BS!D22-BS!E22</f>
        <v/>
      </c>
      <c r="E13" s="319">
        <f>BS!E22-BS!F22</f>
        <v/>
      </c>
      <c r="F13" s="319">
        <f>BS!F22-BS!G22</f>
        <v/>
      </c>
    </row>
    <row r="14">
      <c r="B14" s="14" t="inlineStr">
        <is>
          <t>(Increase)/decrease in long term loans and advances</t>
        </is>
      </c>
      <c r="C14" s="319">
        <f>BS!C23-BS!D23</f>
        <v/>
      </c>
      <c r="D14" s="319">
        <f>BS!D23-BS!E23</f>
        <v/>
      </c>
      <c r="E14" s="319">
        <f>BS!E23-BS!F23</f>
        <v/>
      </c>
      <c r="F14" s="319">
        <f>BS!F23-BS!G23</f>
        <v/>
      </c>
    </row>
    <row r="15">
      <c r="B15" s="14" t="inlineStr">
        <is>
          <t>(Increase)/decrease in deferred tax assets</t>
        </is>
      </c>
      <c r="C15" s="319">
        <f>BS!C17-BS!D17</f>
        <v/>
      </c>
      <c r="D15" s="319">
        <f>BS!D17-BS!E17</f>
        <v/>
      </c>
      <c r="E15" s="319">
        <f>BS!E17-BS!F17</f>
        <v/>
      </c>
      <c r="F15" s="319">
        <f>BS!F17-BS!G17</f>
        <v/>
      </c>
    </row>
    <row r="16">
      <c r="B16" s="14" t="inlineStr">
        <is>
          <t>Increase/(decrease) in trade payables</t>
        </is>
      </c>
      <c r="C16" s="319">
        <f>BS!D28-BS!C28</f>
        <v/>
      </c>
      <c r="D16" s="319">
        <f>BS!E28-BS!D28</f>
        <v/>
      </c>
      <c r="E16" s="319">
        <f>BS!F28-BS!E28</f>
        <v/>
      </c>
      <c r="F16" s="319">
        <f>BS!G28-BS!F28</f>
        <v/>
      </c>
    </row>
    <row r="17">
      <c r="B17" s="14" t="inlineStr">
        <is>
          <t>Increase/(decrease) in other current liabilities</t>
        </is>
      </c>
      <c r="C17" s="319">
        <f>BS!D29-BS!C29</f>
        <v/>
      </c>
      <c r="D17" s="319">
        <f>BS!E29-BS!D29</f>
        <v/>
      </c>
      <c r="E17" s="319">
        <f>BS!F29-BS!E29</f>
        <v/>
      </c>
      <c r="F17" s="319">
        <f>BS!G29-BS!F29</f>
        <v/>
      </c>
    </row>
    <row r="18">
      <c r="B18" s="14" t="inlineStr">
        <is>
          <t>Increase/(decrease) in short term provision</t>
        </is>
      </c>
      <c r="C18" s="319">
        <f>BS!D31-BS!C31</f>
        <v/>
      </c>
      <c r="D18" s="319">
        <f>BS!E31-BS!D31</f>
        <v/>
      </c>
      <c r="E18" s="319">
        <f>BS!F31-BS!E31</f>
        <v/>
      </c>
      <c r="F18" s="319">
        <f>BS!G31-BS!F31</f>
        <v/>
      </c>
    </row>
    <row r="19">
      <c r="B19" s="14" t="inlineStr">
        <is>
          <t>Increase/(decrease) in long term provision</t>
        </is>
      </c>
      <c r="C19" s="319">
        <f>BS!D30-BS!C30</f>
        <v/>
      </c>
      <c r="D19" s="319">
        <f>BS!E30-BS!D30</f>
        <v/>
      </c>
      <c r="E19" s="319">
        <f>BS!F30-BS!E30</f>
        <v/>
      </c>
      <c r="F19" s="319">
        <f>BS!G30-BS!F30</f>
        <v/>
      </c>
    </row>
    <row r="20">
      <c r="B20" s="106" t="inlineStr">
        <is>
          <t>Net cash from (used in) operating activities</t>
        </is>
      </c>
      <c r="C20" s="322">
        <f>SUM(C9:C19)</f>
        <v/>
      </c>
      <c r="D20" s="322">
        <f>SUM(D9:D19)</f>
        <v/>
      </c>
      <c r="E20" s="322">
        <f>SUM(E9:E19)</f>
        <v/>
      </c>
      <c r="F20" s="322">
        <f>SUM(F9:F19)</f>
        <v/>
      </c>
    </row>
    <row r="21">
      <c r="B21" s="9" t="inlineStr">
        <is>
          <t>Cashflow from investing activities</t>
        </is>
      </c>
      <c r="C21" s="319" t="n"/>
      <c r="D21" s="319" t="n"/>
      <c r="E21" s="319" t="n"/>
      <c r="F21" s="319" t="n"/>
    </row>
    <row r="22">
      <c r="B22" s="14" t="inlineStr">
        <is>
          <t>(Purchase)/sale of fixed assets</t>
        </is>
      </c>
      <c r="C22" s="323">
        <f>BS!C16-BS!D16-IS!D17</f>
        <v/>
      </c>
      <c r="D22" s="323">
        <f>BS!D16-IS!E17-BS!E16</f>
        <v/>
      </c>
      <c r="E22" s="323">
        <f>BS!E16-IS!F17-BS!F16</f>
        <v/>
      </c>
      <c r="F22" s="323">
        <f>BS!F16-IS!G17-BS!G16</f>
        <v/>
      </c>
    </row>
    <row r="23">
      <c r="B23" s="14" t="inlineStr">
        <is>
          <t>(Increase)/decrease in non-current investment</t>
        </is>
      </c>
      <c r="C23" s="323">
        <f>BS!C18-BS!D18</f>
        <v/>
      </c>
      <c r="D23" s="323">
        <f>BS!D18-BS!E18</f>
        <v/>
      </c>
      <c r="E23" s="323">
        <f>BS!E18-BS!F18</f>
        <v/>
      </c>
      <c r="F23" s="323">
        <f>BS!F18-BS!G18</f>
        <v/>
      </c>
    </row>
    <row r="24">
      <c r="B24" s="106" t="inlineStr">
        <is>
          <t>Net cash from (used in) investing activities</t>
        </is>
      </c>
      <c r="C24" s="322">
        <f>SUM(C22:C23)</f>
        <v/>
      </c>
      <c r="D24" s="322">
        <f>SUM(D22:D23)</f>
        <v/>
      </c>
      <c r="E24" s="322">
        <f>SUM(E22:E23)</f>
        <v/>
      </c>
      <c r="F24" s="322">
        <f>SUM(F22:F23)</f>
        <v/>
      </c>
    </row>
    <row r="25">
      <c r="B25" s="9" t="inlineStr">
        <is>
          <t>Cashflow from financing activities</t>
        </is>
      </c>
      <c r="C25" s="319" t="n"/>
      <c r="D25" s="319" t="n"/>
      <c r="E25" s="319" t="n"/>
      <c r="F25" s="319" t="n"/>
    </row>
    <row r="26">
      <c r="B26" s="7" t="inlineStr">
        <is>
          <t xml:space="preserve">Changes in reserves </t>
        </is>
      </c>
      <c r="C26" s="319">
        <f>BS!D9-BS!C9-IS!D22</f>
        <v/>
      </c>
      <c r="D26" s="319">
        <f>BS!E9-BS!D9-IS!E22</f>
        <v/>
      </c>
      <c r="E26" s="319">
        <f>BS!F9-BS!E9-IS!F22</f>
        <v/>
      </c>
      <c r="F26" s="319">
        <f>BS!G9-BS!F9-IS!G22</f>
        <v/>
      </c>
    </row>
    <row r="27">
      <c r="B27" s="14" t="inlineStr">
        <is>
          <t>Increase/(decrease) in long term borrowings</t>
        </is>
      </c>
      <c r="C27" s="319">
        <f>BS!D11-BS!C11</f>
        <v/>
      </c>
      <c r="D27" s="319">
        <f>BS!E11-BS!D11</f>
        <v/>
      </c>
      <c r="E27" s="319">
        <f>BS!F11-BS!E11</f>
        <v/>
      </c>
      <c r="F27" s="319">
        <f>BS!G11-BS!F11</f>
        <v/>
      </c>
    </row>
    <row r="28">
      <c r="B28" s="14" t="inlineStr">
        <is>
          <t>Increase/(decrease) in short term borrowings</t>
        </is>
      </c>
      <c r="C28" s="319">
        <f>BS!D12-BS!C12</f>
        <v/>
      </c>
      <c r="D28" s="319">
        <f>BS!E12-BS!D12</f>
        <v/>
      </c>
      <c r="E28" s="319">
        <f>BS!F12-BS!E12</f>
        <v/>
      </c>
      <c r="F28" s="319">
        <f>BS!G12-BS!F12</f>
        <v/>
      </c>
    </row>
    <row r="29">
      <c r="B29" s="107" t="inlineStr">
        <is>
          <t>Net cash from (used in) financing activities</t>
        </is>
      </c>
      <c r="C29" s="322">
        <f>SUM(C26:C28)</f>
        <v/>
      </c>
      <c r="D29" s="322">
        <f>SUM(D26:D28)</f>
        <v/>
      </c>
      <c r="E29" s="322">
        <f>SUM(E26:E28)</f>
        <v/>
      </c>
      <c r="F29" s="322">
        <f>SUM(F26:F28)</f>
        <v/>
      </c>
    </row>
    <row r="30">
      <c r="B30" s="108" t="inlineStr">
        <is>
          <t>Increase/(decrease) in cash and cash equivalents</t>
        </is>
      </c>
      <c r="C30" s="324">
        <f>C20+C24+C29</f>
        <v/>
      </c>
      <c r="D30" s="324">
        <f>D20+D24+D29</f>
        <v/>
      </c>
      <c r="E30" s="324">
        <f>E20+E24+E29</f>
        <v/>
      </c>
      <c r="F30" s="324">
        <f>F20+F24+F29</f>
        <v/>
      </c>
    </row>
    <row r="31">
      <c r="B31" s="15" t="inlineStr">
        <is>
          <t>Opening cash and cash equivalents</t>
        </is>
      </c>
      <c r="C31" s="319">
        <f>BS!C19</f>
        <v/>
      </c>
      <c r="D31" s="319">
        <f>BS!D19</f>
        <v/>
      </c>
      <c r="E31" s="319">
        <f>BS!E19</f>
        <v/>
      </c>
      <c r="F31" s="319">
        <f>BS!F19</f>
        <v/>
      </c>
    </row>
    <row r="32" ht="16.5" customHeight="1" thickBot="1">
      <c r="B32" s="109" t="inlineStr">
        <is>
          <t>Closing cash and cash equivalents</t>
        </is>
      </c>
      <c r="C32" s="325">
        <f>SUM(C30:C31)</f>
        <v/>
      </c>
      <c r="D32" s="325">
        <f>SUM(D30:D31)</f>
        <v/>
      </c>
      <c r="E32" s="325">
        <f>SUM(E30:E31)</f>
        <v/>
      </c>
      <c r="F32" s="325">
        <f>SUM(F30:F31)</f>
        <v/>
      </c>
    </row>
    <row r="33">
      <c r="C33" s="326" t="n"/>
      <c r="F33" s="317" t="n"/>
    </row>
    <row r="34">
      <c r="B34" s="7" t="inlineStr">
        <is>
          <t>Closing cash and cash equivalents</t>
        </is>
      </c>
      <c r="C34" s="326">
        <f>BS!D19</f>
        <v/>
      </c>
      <c r="D34" s="326">
        <f>BS!E19</f>
        <v/>
      </c>
      <c r="E34" s="326">
        <f>BS!F19</f>
        <v/>
      </c>
      <c r="F34" s="326">
        <f>BS!G19</f>
        <v/>
      </c>
    </row>
    <row r="35">
      <c r="B35" s="39" t="inlineStr">
        <is>
          <t>Check</t>
        </is>
      </c>
      <c r="C35" s="327">
        <f>C32-C34</f>
        <v/>
      </c>
      <c r="D35" s="327">
        <f>D32-D34</f>
        <v/>
      </c>
      <c r="E35" s="327">
        <f>E32-E34</f>
        <v/>
      </c>
      <c r="F35" s="327">
        <f>F32-F34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AQ480"/>
  <sheetViews>
    <sheetView showGridLines="0" topLeftCell="A192" zoomScale="102" zoomScaleNormal="46" workbookViewId="0">
      <selection activeCell="I234" sqref="A234:XFD234"/>
    </sheetView>
  </sheetViews>
  <sheetFormatPr baseColWidth="8" defaultColWidth="11" defaultRowHeight="16"/>
  <cols>
    <col width="3" customWidth="1" style="328" min="1" max="1"/>
    <col width="49.1796875" bestFit="1" customWidth="1" style="67" min="2" max="2"/>
    <col width="13.453125" bestFit="1" customWidth="1" style="329" min="3" max="7"/>
    <col width="2.6328125" customWidth="1" style="329" min="8" max="8"/>
    <col width="10" bestFit="1" customWidth="1" style="262" min="9" max="9"/>
    <col width="11" customWidth="1" style="262" min="10" max="10"/>
    <col width="15.1796875" bestFit="1" customWidth="1" style="262" min="11" max="11"/>
    <col width="11" customWidth="1" style="262" min="12" max="13"/>
    <col width="2.6328125" customWidth="1" style="262" min="14" max="14"/>
    <col width="11" customWidth="1" style="262" min="15" max="18"/>
    <col width="11" customWidth="1" style="330" min="19" max="36"/>
    <col width="23.453125" bestFit="1" customWidth="1" style="330" min="37" max="37"/>
    <col width="14.453125" bestFit="1" customWidth="1" style="330" min="38" max="38"/>
    <col width="7.453125" bestFit="1" customWidth="1" style="330" min="39" max="41"/>
    <col width="11.453125" bestFit="1" customWidth="1" style="330" min="42" max="42"/>
    <col width="11" customWidth="1" style="330" min="43" max="16384"/>
  </cols>
  <sheetData>
    <row r="1">
      <c r="A1" s="330" t="n"/>
    </row>
    <row r="2">
      <c r="A2" s="330" t="n"/>
      <c r="B2" s="166">
        <f>IS!B2</f>
        <v/>
      </c>
    </row>
    <row r="3">
      <c r="A3" s="330" t="n"/>
      <c r="B3" s="166" t="inlineStr">
        <is>
          <t>Notes to accounts</t>
        </is>
      </c>
      <c r="H3" s="331" t="n"/>
    </row>
    <row r="4">
      <c r="A4" s="330" t="n"/>
      <c r="B4" s="67">
        <f>IS!B4</f>
        <v/>
      </c>
      <c r="H4" s="331" t="n"/>
    </row>
    <row r="5">
      <c r="A5" s="330" t="n"/>
      <c r="B5" s="116" t="inlineStr">
        <is>
          <t>Share capital</t>
        </is>
      </c>
      <c r="C5" s="332" t="n"/>
      <c r="D5" s="332" t="n"/>
      <c r="E5" s="332" t="n"/>
      <c r="F5" s="332" t="n"/>
      <c r="G5" s="332" t="n"/>
    </row>
    <row r="6">
      <c r="A6" s="330" t="n"/>
      <c r="B6" s="134" t="inlineStr">
        <is>
          <t>Particulars</t>
        </is>
      </c>
      <c r="C6" s="333" t="inlineStr">
        <is>
          <t>FY22</t>
        </is>
      </c>
      <c r="D6" s="333" t="inlineStr">
        <is>
          <t>FY23</t>
        </is>
      </c>
      <c r="E6" s="333" t="inlineStr">
        <is>
          <t>FY24</t>
        </is>
      </c>
      <c r="F6" s="333" t="inlineStr">
        <is>
          <t>FY25</t>
        </is>
      </c>
      <c r="G6" s="333" t="inlineStr">
        <is>
          <t>FY26</t>
        </is>
      </c>
      <c r="H6" s="334" t="n"/>
    </row>
    <row r="7">
      <c r="A7" s="330" t="n"/>
      <c r="B7" s="116" t="inlineStr">
        <is>
          <t xml:space="preserve">Authorised </t>
        </is>
      </c>
      <c r="C7" s="329" t="n"/>
      <c r="D7" s="329" t="n"/>
      <c r="E7" s="329" t="n"/>
      <c r="F7" s="329" t="n"/>
      <c r="G7" s="329" t="n"/>
    </row>
    <row r="8">
      <c r="A8" s="330" t="n"/>
      <c r="B8" s="167" t="inlineStr">
        <is>
          <t>"x" equity shares of Rs. 10 each</t>
        </is>
      </c>
      <c r="C8" s="335" t="n"/>
      <c r="D8" s="335" t="n"/>
      <c r="E8" s="335" t="n"/>
      <c r="F8" s="335" t="n"/>
      <c r="G8" s="335" t="n"/>
      <c r="H8" s="335" t="n"/>
    </row>
    <row r="9">
      <c r="A9" s="330" t="n"/>
      <c r="B9" s="166" t="inlineStr">
        <is>
          <t>Issued, subscribed and paid up</t>
        </is>
      </c>
      <c r="C9" s="329" t="n"/>
      <c r="D9" s="329" t="n"/>
      <c r="E9" s="329" t="n"/>
      <c r="F9" s="329" t="n"/>
      <c r="G9" s="329" t="n"/>
    </row>
    <row r="10">
      <c r="A10" s="330" t="n"/>
      <c r="B10" s="167" t="inlineStr">
        <is>
          <t>"x" equity shares of Rs. 10 each</t>
        </is>
      </c>
      <c r="C10" s="335" t="n"/>
      <c r="D10" s="335" t="n"/>
      <c r="E10" s="335" t="n"/>
      <c r="F10" s="335" t="n"/>
      <c r="G10" s="335" t="n"/>
      <c r="H10" s="335" t="n"/>
    </row>
    <row r="11">
      <c r="A11" s="330" t="n"/>
      <c r="B11" s="135" t="inlineStr">
        <is>
          <t>Total</t>
        </is>
      </c>
      <c r="C11" s="336">
        <f>C10</f>
        <v/>
      </c>
      <c r="D11" s="336">
        <f>D10</f>
        <v/>
      </c>
      <c r="E11" s="336">
        <f>E10</f>
        <v/>
      </c>
      <c r="F11" s="336">
        <f>F10</f>
        <v/>
      </c>
      <c r="G11" s="336">
        <f>G10</f>
        <v/>
      </c>
      <c r="H11" s="331" t="n"/>
    </row>
    <row r="12">
      <c r="A12" s="330" t="n"/>
      <c r="B12" s="120" t="inlineStr">
        <is>
          <t>Reserves and surplus</t>
        </is>
      </c>
      <c r="C12" s="337" t="n"/>
      <c r="D12" s="337" t="n"/>
      <c r="E12" s="337" t="n"/>
      <c r="F12" s="337" t="n"/>
      <c r="G12" s="337" t="n"/>
    </row>
    <row r="13">
      <c r="A13" s="330" t="n"/>
      <c r="B13" s="134" t="inlineStr">
        <is>
          <t>Particulars</t>
        </is>
      </c>
      <c r="C13" s="333">
        <f>C6</f>
        <v/>
      </c>
      <c r="D13" s="333">
        <f>D6</f>
        <v/>
      </c>
      <c r="E13" s="333">
        <f>E6</f>
        <v/>
      </c>
      <c r="F13" s="333">
        <f>F6</f>
        <v/>
      </c>
      <c r="G13" s="333">
        <f>G6</f>
        <v/>
      </c>
      <c r="H13" s="334" t="n"/>
    </row>
    <row r="14">
      <c r="A14" s="330" t="n"/>
      <c r="B14" s="67" t="inlineStr">
        <is>
          <t>Securities premium</t>
        </is>
      </c>
      <c r="C14" s="338" t="n"/>
      <c r="D14" s="338" t="n"/>
      <c r="E14" s="338" t="n"/>
      <c r="F14" s="338" t="n"/>
      <c r="G14" s="338" t="n"/>
      <c r="H14" s="334" t="n"/>
    </row>
    <row r="15">
      <c r="A15" s="330" t="n"/>
      <c r="B15" s="67" t="inlineStr">
        <is>
          <t>Other reserves</t>
        </is>
      </c>
      <c r="C15" s="338" t="n"/>
      <c r="D15" s="338" t="n"/>
      <c r="E15" s="338" t="n"/>
      <c r="F15" s="338" t="n"/>
      <c r="G15" s="338" t="n"/>
      <c r="H15" s="334" t="n"/>
    </row>
    <row r="16">
      <c r="A16" s="330" t="n"/>
      <c r="B16" s="121" t="inlineStr">
        <is>
          <t>Surplus</t>
        </is>
      </c>
      <c r="C16" s="339" t="n"/>
      <c r="D16" s="339" t="n"/>
      <c r="E16" s="339" t="n"/>
      <c r="F16" s="339" t="n"/>
      <c r="G16" s="339" t="n"/>
      <c r="H16" s="339" t="n"/>
    </row>
    <row r="17">
      <c r="A17" s="330" t="n"/>
      <c r="B17" s="122" t="inlineStr">
        <is>
          <t>Opening balance</t>
        </is>
      </c>
      <c r="C17" s="340" t="n"/>
      <c r="D17" s="340">
        <f>C21</f>
        <v/>
      </c>
      <c r="E17" s="340">
        <f>D21</f>
        <v/>
      </c>
      <c r="F17" s="340">
        <f>E21</f>
        <v/>
      </c>
      <c r="G17" s="340">
        <f>F21</f>
        <v/>
      </c>
      <c r="H17" s="339" t="n"/>
    </row>
    <row r="18">
      <c r="A18" s="330" t="n"/>
      <c r="B18" s="122" t="inlineStr">
        <is>
          <t>Less: Income tax paid</t>
        </is>
      </c>
      <c r="C18" s="340" t="n"/>
      <c r="D18" s="340" t="n"/>
      <c r="E18" s="340" t="n"/>
      <c r="F18" s="340" t="n"/>
      <c r="G18" s="340" t="n"/>
      <c r="H18" s="339" t="n"/>
    </row>
    <row r="19">
      <c r="A19" s="330" t="n"/>
      <c r="B19" s="122" t="inlineStr">
        <is>
          <t>Additions during the year</t>
        </is>
      </c>
      <c r="C19" s="340" t="n"/>
      <c r="D19" s="340" t="n"/>
      <c r="E19" s="340" t="n"/>
      <c r="F19" s="340" t="n"/>
      <c r="G19" s="340" t="n"/>
      <c r="H19" s="339" t="n"/>
    </row>
    <row r="20">
      <c r="A20" s="330" t="n"/>
      <c r="B20" s="122" t="inlineStr">
        <is>
          <t>Profit for the year</t>
        </is>
      </c>
      <c r="C20" s="340">
        <f>IS!C22*curr</f>
        <v/>
      </c>
      <c r="D20" s="340">
        <f>IS!D22*curr</f>
        <v/>
      </c>
      <c r="E20" s="340">
        <f>IS!E22*curr</f>
        <v/>
      </c>
      <c r="F20" s="340">
        <f>IS!F22*curr</f>
        <v/>
      </c>
      <c r="G20" s="340">
        <f>IS!G22*curr</f>
        <v/>
      </c>
      <c r="H20" s="339" t="n"/>
    </row>
    <row r="21">
      <c r="A21" s="330" t="n"/>
      <c r="B21" s="122" t="inlineStr">
        <is>
          <t>Closing balance</t>
        </is>
      </c>
      <c r="C21" s="340">
        <f>SUM(C17:C20)</f>
        <v/>
      </c>
      <c r="D21" s="340">
        <f>SUM(D17:D20)</f>
        <v/>
      </c>
      <c r="E21" s="340">
        <f>SUM(E17:E20)</f>
        <v/>
      </c>
      <c r="F21" s="340">
        <f>SUM(F17:F20)</f>
        <v/>
      </c>
      <c r="G21" s="340">
        <f>SUM(G17:G20)</f>
        <v/>
      </c>
      <c r="H21" s="339" t="n"/>
    </row>
    <row r="22">
      <c r="A22" s="330" t="n"/>
      <c r="B22" s="123" t="inlineStr">
        <is>
          <t>Total</t>
        </is>
      </c>
      <c r="C22" s="341">
        <f>C14+C15+C21</f>
        <v/>
      </c>
      <c r="D22" s="341">
        <f>D14+D15+D21</f>
        <v/>
      </c>
      <c r="E22" s="341">
        <f>E14+E15+E21</f>
        <v/>
      </c>
      <c r="F22" s="341">
        <f>F14+F15+F21</f>
        <v/>
      </c>
      <c r="G22" s="341">
        <f>G14+G15+G21</f>
        <v/>
      </c>
      <c r="H22" s="342" t="n"/>
    </row>
    <row r="23">
      <c r="A23" s="330" t="n"/>
      <c r="B23" s="65" t="n"/>
      <c r="C23" s="342" t="n"/>
      <c r="D23" s="342" t="n"/>
      <c r="E23" s="342" t="n"/>
      <c r="F23" s="342" t="n"/>
      <c r="G23" s="342" t="n"/>
      <c r="H23" s="342" t="n"/>
    </row>
    <row r="24">
      <c r="A24" s="330" t="n"/>
      <c r="B24" s="124" t="inlineStr">
        <is>
          <t>Long term provisions</t>
        </is>
      </c>
      <c r="C24" s="343" t="n"/>
      <c r="D24" s="343" t="n"/>
      <c r="E24" s="343" t="n"/>
      <c r="F24" s="343" t="n"/>
      <c r="G24" s="343" t="n"/>
    </row>
    <row r="25">
      <c r="A25" s="330" t="n"/>
      <c r="B25" s="134" t="inlineStr">
        <is>
          <t>Particulars</t>
        </is>
      </c>
      <c r="C25" s="333">
        <f>C6</f>
        <v/>
      </c>
      <c r="D25" s="333">
        <f>D6</f>
        <v/>
      </c>
      <c r="E25" s="333">
        <f>E6</f>
        <v/>
      </c>
      <c r="F25" s="333">
        <f>F6</f>
        <v/>
      </c>
      <c r="G25" s="333">
        <f>G6</f>
        <v/>
      </c>
    </row>
    <row r="26">
      <c r="A26" s="330" t="n"/>
      <c r="B26" s="160" t="inlineStr">
        <is>
          <t>Provision for gratuity</t>
        </is>
      </c>
      <c r="H26" s="334" t="n"/>
    </row>
    <row r="27" hidden="1">
      <c r="A27" s="330" t="n"/>
      <c r="B27" s="160" t="n"/>
      <c r="H27" s="334" t="n"/>
    </row>
    <row r="28" hidden="1">
      <c r="A28" s="330" t="n"/>
      <c r="B28" s="160" t="n"/>
      <c r="H28" s="334" t="n"/>
    </row>
    <row r="29" hidden="1">
      <c r="A29" s="330" t="n"/>
      <c r="B29" s="160" t="n"/>
      <c r="H29" s="334" t="n"/>
    </row>
    <row r="30">
      <c r="A30" s="330" t="n"/>
      <c r="B30" s="160" t="inlineStr">
        <is>
          <t>Provision for leave encashment</t>
        </is>
      </c>
      <c r="H30" s="334" t="n"/>
    </row>
    <row r="31">
      <c r="A31" s="330" t="n"/>
      <c r="B31" s="126" t="inlineStr">
        <is>
          <t>Total</t>
        </is>
      </c>
      <c r="C31" s="344">
        <f>SUM(C26:C30)</f>
        <v/>
      </c>
      <c r="D31" s="344">
        <f>SUM(D26:D30)</f>
        <v/>
      </c>
      <c r="E31" s="344">
        <f>SUM(E26:E30)</f>
        <v/>
      </c>
      <c r="F31" s="344">
        <f>SUM(F26:F30)</f>
        <v/>
      </c>
      <c r="G31" s="344">
        <f>SUM(G26:G30)</f>
        <v/>
      </c>
    </row>
    <row r="32">
      <c r="A32" s="330" t="n"/>
      <c r="B32" s="66" t="n"/>
      <c r="C32" s="345" t="n"/>
      <c r="D32" s="345" t="n"/>
      <c r="E32" s="345" t="n"/>
      <c r="F32" s="345" t="n"/>
      <c r="G32" s="345" t="n"/>
      <c r="H32" s="345" t="n"/>
      <c r="AK32" s="346" t="n"/>
      <c r="AL32" s="347" t="n"/>
      <c r="AM32" s="347" t="n"/>
      <c r="AN32" s="347" t="n"/>
      <c r="AO32" s="347" t="n"/>
      <c r="AP32" s="347" t="n"/>
    </row>
    <row r="33">
      <c r="A33" s="330" t="n"/>
      <c r="B33" s="124" t="inlineStr">
        <is>
          <t>Long term borrowings</t>
        </is>
      </c>
      <c r="C33" s="343" t="n"/>
      <c r="D33" s="343" t="n"/>
      <c r="E33" s="343" t="n"/>
      <c r="F33" s="343" t="n"/>
      <c r="G33" s="343" t="n"/>
      <c r="H33" s="345" t="n"/>
      <c r="AK33" s="346" t="n"/>
      <c r="AL33" s="347" t="n"/>
      <c r="AM33" s="347" t="n"/>
      <c r="AN33" s="347" t="n"/>
      <c r="AO33" s="347" t="n"/>
      <c r="AP33" s="347" t="n"/>
    </row>
    <row r="34">
      <c r="A34" s="330" t="n"/>
      <c r="B34" s="134" t="inlineStr">
        <is>
          <t>Particulars</t>
        </is>
      </c>
      <c r="C34" s="333">
        <f>C6</f>
        <v/>
      </c>
      <c r="D34" s="333">
        <f>D6</f>
        <v/>
      </c>
      <c r="E34" s="333">
        <f>E6</f>
        <v/>
      </c>
      <c r="F34" s="333">
        <f>F6</f>
        <v/>
      </c>
      <c r="G34" s="333">
        <f>G6</f>
        <v/>
      </c>
      <c r="H34" s="345" t="n"/>
      <c r="AK34" s="346" t="n"/>
      <c r="AL34" s="347" t="n"/>
      <c r="AM34" s="347" t="n"/>
      <c r="AN34" s="347" t="n"/>
      <c r="AO34" s="347" t="n"/>
      <c r="AP34" s="347" t="n"/>
    </row>
    <row r="35">
      <c r="A35" s="330" t="n"/>
      <c r="B35" s="127" t="inlineStr">
        <is>
          <t>Director's loan a/c</t>
        </is>
      </c>
      <c r="C35" s="329" t="n"/>
      <c r="D35" s="329" t="n"/>
      <c r="E35" s="329" t="n"/>
      <c r="F35" s="329" t="n"/>
      <c r="G35" s="329" t="n"/>
      <c r="H35" s="345" t="n"/>
      <c r="AK35" s="346" t="n"/>
      <c r="AL35" s="347" t="n"/>
      <c r="AM35" s="347" t="n"/>
      <c r="AN35" s="347" t="n"/>
      <c r="AO35" s="347" t="n"/>
      <c r="AP35" s="347" t="n"/>
    </row>
    <row r="36" hidden="1">
      <c r="A36" s="330" t="n"/>
      <c r="B36" s="127" t="n"/>
      <c r="C36" s="329" t="n"/>
      <c r="D36" s="329" t="n"/>
      <c r="E36" s="329" t="n"/>
      <c r="F36" s="329" t="n"/>
      <c r="G36" s="329" t="n"/>
      <c r="H36" s="345" t="n"/>
      <c r="AK36" s="346" t="n"/>
      <c r="AL36" s="347" t="n"/>
      <c r="AM36" s="347" t="n"/>
      <c r="AN36" s="347" t="n"/>
      <c r="AO36" s="347" t="n"/>
      <c r="AP36" s="347" t="n"/>
    </row>
    <row r="37" hidden="1">
      <c r="A37" s="330" t="n"/>
      <c r="B37" s="127" t="n"/>
      <c r="C37" s="329" t="n"/>
      <c r="D37" s="329" t="n"/>
      <c r="E37" s="329" t="n"/>
      <c r="F37" s="329" t="n"/>
      <c r="G37" s="329" t="n"/>
      <c r="H37" s="345" t="n"/>
      <c r="AK37" s="346" t="n"/>
      <c r="AL37" s="347" t="n"/>
      <c r="AM37" s="347" t="n"/>
      <c r="AN37" s="347" t="n"/>
      <c r="AO37" s="347" t="n"/>
      <c r="AP37" s="347" t="n"/>
    </row>
    <row r="38" hidden="1">
      <c r="A38" s="330" t="n"/>
      <c r="B38" s="127" t="n"/>
      <c r="C38" s="329" t="n"/>
      <c r="D38" s="329" t="n"/>
      <c r="E38" s="329" t="n"/>
      <c r="F38" s="329" t="n"/>
      <c r="G38" s="329" t="n"/>
      <c r="H38" s="345" t="n"/>
      <c r="AK38" s="346" t="n"/>
      <c r="AL38" s="347" t="n"/>
      <c r="AM38" s="347" t="n"/>
      <c r="AN38" s="347" t="n"/>
      <c r="AO38" s="347" t="n"/>
      <c r="AP38" s="347" t="n"/>
    </row>
    <row r="39" hidden="1">
      <c r="A39" s="330" t="n"/>
      <c r="B39" s="127" t="n"/>
      <c r="C39" s="329" t="n"/>
      <c r="D39" s="329" t="n"/>
      <c r="E39" s="329" t="n"/>
      <c r="F39" s="329" t="n"/>
      <c r="G39" s="329" t="n"/>
      <c r="H39" s="345" t="n"/>
      <c r="AK39" s="346" t="n"/>
      <c r="AL39" s="347" t="n"/>
      <c r="AM39" s="347" t="n"/>
      <c r="AN39" s="347" t="n"/>
      <c r="AO39" s="347" t="n"/>
      <c r="AP39" s="347" t="n"/>
    </row>
    <row r="40" hidden="1">
      <c r="A40" s="330" t="n"/>
      <c r="B40" s="127" t="n"/>
      <c r="C40" s="329" t="n"/>
      <c r="D40" s="329" t="n"/>
      <c r="E40" s="329" t="n"/>
      <c r="F40" s="329" t="n"/>
      <c r="G40" s="329" t="n"/>
      <c r="H40" s="345" t="n"/>
      <c r="AK40" s="346" t="n"/>
      <c r="AL40" s="347" t="n"/>
      <c r="AM40" s="347" t="n"/>
      <c r="AN40" s="347" t="n"/>
      <c r="AO40" s="347" t="n"/>
      <c r="AP40" s="347" t="n"/>
    </row>
    <row r="41" hidden="1">
      <c r="A41" s="330" t="n"/>
      <c r="B41" s="127" t="n"/>
      <c r="C41" s="329" t="n"/>
      <c r="D41" s="329" t="n"/>
      <c r="E41" s="329" t="n"/>
      <c r="F41" s="329" t="n"/>
      <c r="G41" s="329" t="n"/>
      <c r="H41" s="345" t="n"/>
      <c r="AK41" s="346" t="n"/>
      <c r="AL41" s="347" t="n"/>
      <c r="AM41" s="347" t="n"/>
      <c r="AN41" s="347" t="n"/>
      <c r="AO41" s="347" t="n"/>
      <c r="AP41" s="347" t="n"/>
    </row>
    <row r="42">
      <c r="A42" s="330" t="n"/>
      <c r="B42" s="128" t="inlineStr">
        <is>
          <t>Term loan</t>
        </is>
      </c>
      <c r="C42" s="329" t="n"/>
      <c r="D42" s="329" t="n"/>
      <c r="E42" s="329" t="n"/>
      <c r="F42" s="329" t="n"/>
      <c r="G42" s="329" t="n"/>
      <c r="H42" s="345" t="n"/>
      <c r="AK42" s="346" t="n"/>
      <c r="AL42" s="347" t="n"/>
      <c r="AM42" s="347" t="n"/>
      <c r="AN42" s="347" t="n"/>
      <c r="AO42" s="347" t="n"/>
      <c r="AP42" s="347" t="n"/>
    </row>
    <row r="43">
      <c r="A43" s="330" t="n"/>
      <c r="B43" s="129" t="inlineStr">
        <is>
          <t>Total</t>
        </is>
      </c>
      <c r="C43" s="344">
        <f>SUM(C35:C42)</f>
        <v/>
      </c>
      <c r="D43" s="344">
        <f>SUM(D35:D42)</f>
        <v/>
      </c>
      <c r="E43" s="344">
        <f>SUM(E35:E42)</f>
        <v/>
      </c>
      <c r="F43" s="344">
        <f>SUM(F35:F42)</f>
        <v/>
      </c>
      <c r="G43" s="344">
        <f>SUM(G35:G42)</f>
        <v/>
      </c>
      <c r="H43" s="345" t="n"/>
      <c r="AK43" s="346" t="n"/>
      <c r="AL43" s="347" t="n"/>
      <c r="AM43" s="347" t="n"/>
      <c r="AN43" s="347" t="n"/>
      <c r="AO43" s="347" t="n"/>
      <c r="AP43" s="347" t="n"/>
    </row>
    <row r="44">
      <c r="A44" s="330" t="n"/>
      <c r="B44" s="66" t="n"/>
      <c r="C44" s="345" t="n"/>
      <c r="D44" s="345" t="n"/>
      <c r="E44" s="345" t="n"/>
      <c r="F44" s="345" t="n"/>
      <c r="G44" s="345" t="n"/>
      <c r="H44" s="345" t="n"/>
      <c r="AK44" s="346" t="n"/>
      <c r="AL44" s="347" t="n"/>
      <c r="AM44" s="347" t="n"/>
      <c r="AN44" s="347" t="n"/>
      <c r="AO44" s="347" t="n"/>
      <c r="AP44" s="347" t="n"/>
    </row>
    <row r="45">
      <c r="A45" s="330" t="n"/>
      <c r="B45" s="124" t="inlineStr">
        <is>
          <t>Trade payables</t>
        </is>
      </c>
      <c r="C45" s="343" t="n"/>
      <c r="D45" s="343" t="n"/>
      <c r="E45" s="343" t="n"/>
      <c r="F45" s="343" t="n"/>
      <c r="G45" s="343" t="n"/>
      <c r="AK45" s="346" t="n"/>
      <c r="AL45" s="347" t="n"/>
      <c r="AM45" s="347" t="n"/>
      <c r="AN45" s="347" t="n"/>
      <c r="AO45" s="347" t="n"/>
      <c r="AP45" s="347" t="n"/>
    </row>
    <row r="46">
      <c r="B46" s="134" t="inlineStr">
        <is>
          <t>Particulars</t>
        </is>
      </c>
      <c r="C46" s="333">
        <f>C6</f>
        <v/>
      </c>
      <c r="D46" s="333">
        <f>D6</f>
        <v/>
      </c>
      <c r="E46" s="333">
        <f>E6</f>
        <v/>
      </c>
      <c r="F46" s="333">
        <f>F6</f>
        <v/>
      </c>
      <c r="G46" s="333">
        <f>G6</f>
        <v/>
      </c>
      <c r="AK46" s="346" t="n"/>
      <c r="AL46" s="347" t="n"/>
      <c r="AM46" s="347" t="n"/>
      <c r="AN46" s="347" t="n"/>
      <c r="AO46" s="347" t="n"/>
      <c r="AP46" s="347" t="n"/>
    </row>
    <row r="47">
      <c r="B47" s="127" t="inlineStr">
        <is>
          <t xml:space="preserve">Sundry creditors for goods </t>
        </is>
      </c>
      <c r="C47" s="329" t="n"/>
      <c r="D47" s="329" t="n"/>
      <c r="E47" s="329" t="n"/>
      <c r="F47" s="329" t="n"/>
      <c r="G47" s="329" t="n"/>
      <c r="H47" s="334" t="n"/>
      <c r="AK47" s="346" t="n"/>
      <c r="AL47" s="347" t="n"/>
      <c r="AM47" s="347" t="n"/>
      <c r="AN47" s="347" t="n"/>
      <c r="AO47" s="347" t="n"/>
      <c r="AP47" s="347" t="n"/>
    </row>
    <row r="48">
      <c r="B48" s="161" t="inlineStr">
        <is>
          <t xml:space="preserve">Sundry creditors for other than goods </t>
        </is>
      </c>
      <c r="C48" s="329" t="n"/>
      <c r="D48" s="329" t="n"/>
      <c r="E48" s="329" t="n"/>
      <c r="F48" s="329" t="n"/>
      <c r="G48" s="329" t="n"/>
      <c r="H48" s="338" t="n"/>
      <c r="AK48" s="346" t="n"/>
      <c r="AL48" s="347" t="n"/>
      <c r="AM48" s="347" t="n"/>
      <c r="AN48" s="347" t="n"/>
      <c r="AO48" s="347" t="n"/>
      <c r="AP48" s="347" t="n"/>
    </row>
    <row r="49" hidden="1">
      <c r="B49" s="127" t="n"/>
      <c r="C49" s="329" t="n"/>
      <c r="D49" s="329" t="n"/>
      <c r="E49" s="329" t="n"/>
      <c r="F49" s="329" t="n"/>
      <c r="G49" s="329" t="n"/>
      <c r="H49" s="334" t="n"/>
      <c r="AK49" s="346" t="n"/>
      <c r="AL49" s="347" t="n"/>
      <c r="AM49" s="347" t="n"/>
      <c r="AN49" s="347" t="n"/>
      <c r="AO49" s="347" t="n"/>
      <c r="AP49" s="347" t="n"/>
    </row>
    <row r="50" hidden="1">
      <c r="B50" s="127" t="n"/>
      <c r="C50" s="329" t="n"/>
      <c r="D50" s="329" t="n"/>
      <c r="E50" s="329" t="n"/>
      <c r="F50" s="329" t="n"/>
      <c r="G50" s="329" t="n"/>
      <c r="H50" s="334" t="n"/>
      <c r="AK50" s="346" t="n"/>
      <c r="AL50" s="347" t="n"/>
      <c r="AM50" s="347" t="n"/>
      <c r="AN50" s="347" t="n"/>
      <c r="AO50" s="347" t="n"/>
      <c r="AP50" s="347" t="n"/>
    </row>
    <row r="51" hidden="1">
      <c r="B51" s="127" t="n"/>
      <c r="C51" s="329" t="n"/>
      <c r="D51" s="329" t="n"/>
      <c r="E51" s="329" t="n"/>
      <c r="F51" s="329" t="n"/>
      <c r="G51" s="329" t="n"/>
      <c r="H51" s="334" t="n"/>
      <c r="AK51" s="346" t="n"/>
      <c r="AL51" s="347" t="n"/>
      <c r="AM51" s="347" t="n"/>
      <c r="AN51" s="347" t="n"/>
      <c r="AO51" s="347" t="n"/>
      <c r="AP51" s="347" t="n"/>
    </row>
    <row r="52" hidden="1">
      <c r="B52" s="127" t="n"/>
      <c r="C52" s="329" t="n"/>
      <c r="D52" s="329" t="n"/>
      <c r="E52" s="329" t="n"/>
      <c r="F52" s="329" t="n"/>
      <c r="G52" s="329" t="n"/>
      <c r="H52" s="334" t="n"/>
      <c r="AK52" s="346" t="n"/>
      <c r="AL52" s="347" t="n"/>
      <c r="AM52" s="347" t="n"/>
      <c r="AN52" s="347" t="n"/>
      <c r="AO52" s="347" t="n"/>
      <c r="AP52" s="347" t="n"/>
    </row>
    <row r="53" hidden="1">
      <c r="B53" s="127" t="n"/>
      <c r="C53" s="329" t="n"/>
      <c r="D53" s="329" t="n"/>
      <c r="E53" s="329" t="n"/>
      <c r="F53" s="329" t="n"/>
      <c r="G53" s="329" t="n"/>
      <c r="H53" s="334" t="n"/>
      <c r="AK53" s="346" t="n"/>
      <c r="AL53" s="347" t="n"/>
      <c r="AM53" s="347" t="n"/>
      <c r="AN53" s="347" t="n"/>
      <c r="AO53" s="347" t="n"/>
      <c r="AP53" s="347" t="n"/>
    </row>
    <row r="54">
      <c r="B54" s="128" t="inlineStr">
        <is>
          <t>Advance from customers (Interest free)</t>
        </is>
      </c>
      <c r="C54" s="329" t="n"/>
      <c r="D54" s="329" t="n"/>
      <c r="E54" s="329" t="n"/>
      <c r="F54" s="329" t="n"/>
      <c r="G54" s="329" t="n"/>
      <c r="H54" s="338" t="n"/>
      <c r="AK54" s="346" t="n"/>
      <c r="AL54" s="347" t="n"/>
      <c r="AM54" s="347" t="n"/>
      <c r="AN54" s="347" t="n"/>
      <c r="AO54" s="347" t="n"/>
      <c r="AP54" s="347" t="n"/>
    </row>
    <row r="55">
      <c r="B55" s="129" t="inlineStr">
        <is>
          <t>Total</t>
        </is>
      </c>
      <c r="C55" s="344">
        <f>SUM(C47:C54)</f>
        <v/>
      </c>
      <c r="D55" s="344">
        <f>SUM(D47:D54)</f>
        <v/>
      </c>
      <c r="E55" s="344">
        <f>SUM(E47:E54)</f>
        <v/>
      </c>
      <c r="F55" s="344">
        <f>SUM(F47:F54)</f>
        <v/>
      </c>
      <c r="G55" s="344">
        <f>SUM(G47:G54)</f>
        <v/>
      </c>
      <c r="AK55" s="346" t="n"/>
      <c r="AL55" s="347" t="n"/>
      <c r="AM55" s="347" t="n"/>
      <c r="AN55" s="347" t="n"/>
      <c r="AO55" s="347" t="n"/>
      <c r="AP55" s="347" t="n"/>
    </row>
    <row r="56">
      <c r="B56" s="66" t="n"/>
      <c r="C56" s="345" t="n"/>
      <c r="D56" s="345" t="n"/>
      <c r="E56" s="345" t="n"/>
      <c r="F56" s="345" t="n"/>
      <c r="G56" s="345" t="n"/>
      <c r="H56" s="345" t="n"/>
    </row>
    <row r="57">
      <c r="B57" s="124" t="inlineStr">
        <is>
          <t>Short term borrowings</t>
        </is>
      </c>
      <c r="C57" s="343" t="n"/>
      <c r="D57" s="343" t="n"/>
      <c r="E57" s="343" t="n"/>
      <c r="F57" s="343" t="n"/>
      <c r="G57" s="343" t="n"/>
      <c r="H57" s="345" t="n"/>
    </row>
    <row r="58">
      <c r="B58" s="134" t="inlineStr">
        <is>
          <t>Particulars</t>
        </is>
      </c>
      <c r="C58" s="333">
        <f>C6</f>
        <v/>
      </c>
      <c r="D58" s="333">
        <f>D6</f>
        <v/>
      </c>
      <c r="E58" s="333">
        <f>E6</f>
        <v/>
      </c>
      <c r="F58" s="333">
        <f>F6</f>
        <v/>
      </c>
      <c r="G58" s="333">
        <f>G6</f>
        <v/>
      </c>
      <c r="H58" s="345" t="n"/>
    </row>
    <row r="59">
      <c r="B59" s="160" t="inlineStr">
        <is>
          <t>Secured loan from banks</t>
        </is>
      </c>
      <c r="H59" s="345" t="n"/>
    </row>
    <row r="60">
      <c r="B60" s="131" t="inlineStr">
        <is>
          <t>Hong Kong and Shanghai banking corp. ltd.</t>
        </is>
      </c>
      <c r="H60" s="345" t="n"/>
    </row>
    <row r="61">
      <c r="B61" s="131" t="inlineStr">
        <is>
          <t>ICICI bank car loan a/c</t>
        </is>
      </c>
      <c r="H61" s="345" t="n"/>
    </row>
    <row r="62" hidden="1">
      <c r="B62" s="160" t="n"/>
      <c r="H62" s="345" t="n"/>
    </row>
    <row r="63" hidden="1">
      <c r="B63" s="160" t="n"/>
      <c r="H63" s="345" t="n"/>
    </row>
    <row r="64" hidden="1">
      <c r="B64" s="160" t="n"/>
      <c r="H64" s="345" t="n"/>
    </row>
    <row r="65" hidden="1">
      <c r="B65" s="160" t="n"/>
      <c r="H65" s="345" t="n"/>
    </row>
    <row r="66" hidden="1">
      <c r="B66" s="160" t="n"/>
      <c r="H66" s="345" t="n"/>
    </row>
    <row r="67" hidden="1">
      <c r="B67" s="160" t="n"/>
      <c r="H67" s="345" t="n"/>
    </row>
    <row r="68">
      <c r="B68" s="160" t="inlineStr">
        <is>
          <t>Unsecured loans</t>
        </is>
      </c>
      <c r="H68" s="345" t="n"/>
    </row>
    <row r="69">
      <c r="B69" s="126" t="inlineStr">
        <is>
          <t>Total</t>
        </is>
      </c>
      <c r="C69" s="344">
        <f>SUM(C59:C68)</f>
        <v/>
      </c>
      <c r="D69" s="344">
        <f>SUM(D59:D68)</f>
        <v/>
      </c>
      <c r="E69" s="344">
        <f>SUM(E59:E68)</f>
        <v/>
      </c>
      <c r="F69" s="344">
        <f>SUM(F59:F68)</f>
        <v/>
      </c>
      <c r="G69" s="344">
        <f>SUM(G59:G68)</f>
        <v/>
      </c>
      <c r="H69" s="345" t="n"/>
    </row>
    <row r="70">
      <c r="B70" s="66" t="n"/>
      <c r="C70" s="345" t="n"/>
      <c r="D70" s="345" t="n"/>
      <c r="E70" s="345" t="n"/>
      <c r="F70" s="345" t="n"/>
      <c r="G70" s="345" t="n"/>
      <c r="H70" s="345" t="n"/>
    </row>
    <row r="71">
      <c r="B71" s="124" t="inlineStr">
        <is>
          <t>Short term provisions</t>
        </is>
      </c>
      <c r="C71" s="343" t="n"/>
      <c r="D71" s="343" t="n"/>
      <c r="E71" s="343" t="n"/>
      <c r="F71" s="343" t="n"/>
      <c r="G71" s="343" t="n"/>
    </row>
    <row r="72">
      <c r="A72" s="330" t="n"/>
      <c r="B72" s="134" t="inlineStr">
        <is>
          <t>Particulars</t>
        </is>
      </c>
      <c r="C72" s="333">
        <f>C6</f>
        <v/>
      </c>
      <c r="D72" s="333">
        <f>D6</f>
        <v/>
      </c>
      <c r="E72" s="333">
        <f>E6</f>
        <v/>
      </c>
      <c r="F72" s="333">
        <f>F6</f>
        <v/>
      </c>
      <c r="G72" s="333">
        <f>G6</f>
        <v/>
      </c>
    </row>
    <row r="73">
      <c r="A73" s="330" t="n"/>
      <c r="B73" s="160" t="inlineStr">
        <is>
          <t>Provision for gratuity</t>
        </is>
      </c>
      <c r="H73" s="334" t="n"/>
    </row>
    <row r="74">
      <c r="A74" s="330" t="n"/>
      <c r="B74" s="160" t="inlineStr">
        <is>
          <t>Provision for expenses</t>
        </is>
      </c>
      <c r="H74" s="334" t="n"/>
    </row>
    <row r="75" hidden="1">
      <c r="A75" s="330" t="n"/>
      <c r="B75" s="160" t="n"/>
      <c r="H75" s="334" t="n"/>
    </row>
    <row r="76" hidden="1">
      <c r="A76" s="330" t="n"/>
      <c r="B76" s="160" t="n"/>
      <c r="H76" s="334" t="n"/>
    </row>
    <row r="77" hidden="1">
      <c r="A77" s="330" t="n"/>
      <c r="B77" s="160" t="n"/>
      <c r="H77" s="334" t="n"/>
    </row>
    <row r="78" hidden="1">
      <c r="A78" s="330" t="n"/>
      <c r="B78" s="160" t="n"/>
      <c r="H78" s="334" t="n"/>
    </row>
    <row r="79" hidden="1">
      <c r="A79" s="330" t="n"/>
      <c r="B79" s="160" t="n"/>
      <c r="H79" s="334" t="n"/>
    </row>
    <row r="80" hidden="1">
      <c r="A80" s="330" t="n"/>
      <c r="B80" s="160" t="n"/>
      <c r="H80" s="334" t="n"/>
    </row>
    <row r="81">
      <c r="B81" s="160" t="inlineStr">
        <is>
          <t>Current year's tax payable</t>
        </is>
      </c>
      <c r="H81" s="348" t="n"/>
    </row>
    <row r="82">
      <c r="A82" s="330" t="n"/>
      <c r="B82" s="126" t="inlineStr">
        <is>
          <t>Total</t>
        </is>
      </c>
      <c r="C82" s="344">
        <f>SUM(C73:C81)</f>
        <v/>
      </c>
      <c r="D82" s="344">
        <f>SUM(D73:D81)</f>
        <v/>
      </c>
      <c r="E82" s="344">
        <f>SUM(E73:E81)</f>
        <v/>
      </c>
      <c r="F82" s="344">
        <f>SUM(F73:F81)</f>
        <v/>
      </c>
      <c r="G82" s="344">
        <f>SUM(G73:G81)</f>
        <v/>
      </c>
      <c r="H82" s="348" t="n"/>
    </row>
    <row r="83">
      <c r="B83" s="66" t="n"/>
      <c r="C83" s="345" t="n"/>
      <c r="D83" s="345" t="n"/>
      <c r="E83" s="345" t="n"/>
      <c r="F83" s="345" t="n"/>
      <c r="G83" s="345" t="n"/>
      <c r="H83" s="345" t="n"/>
    </row>
    <row r="84">
      <c r="B84" s="124" t="inlineStr">
        <is>
          <t>Other current liabilities</t>
        </is>
      </c>
      <c r="C84" s="343" t="n"/>
      <c r="D84" s="343" t="n"/>
      <c r="E84" s="343" t="n"/>
      <c r="F84" s="343" t="n"/>
      <c r="G84" s="343" t="n"/>
    </row>
    <row r="85">
      <c r="B85" s="134" t="inlineStr">
        <is>
          <t>Particulars</t>
        </is>
      </c>
      <c r="C85" s="333">
        <f>C6</f>
        <v/>
      </c>
      <c r="D85" s="333">
        <f>D6</f>
        <v/>
      </c>
      <c r="E85" s="333">
        <f>E6</f>
        <v/>
      </c>
      <c r="F85" s="333">
        <f>F6</f>
        <v/>
      </c>
      <c r="G85" s="333">
        <f>G6</f>
        <v/>
      </c>
    </row>
    <row r="86">
      <c r="B86" s="132" t="inlineStr">
        <is>
          <t>TDS &amp; TCS payable</t>
        </is>
      </c>
      <c r="C86" s="348" t="n"/>
      <c r="D86" s="348" t="n"/>
      <c r="E86" s="348" t="n"/>
      <c r="F86" s="348" t="n"/>
      <c r="G86" s="348" t="n"/>
      <c r="H86" s="334" t="n"/>
    </row>
    <row r="87">
      <c r="B87" s="15" t="inlineStr">
        <is>
          <t>GST payable</t>
        </is>
      </c>
      <c r="C87" s="348" t="n"/>
      <c r="D87" s="348" t="n"/>
      <c r="E87" s="348" t="n"/>
      <c r="F87" s="348" t="n"/>
      <c r="G87" s="348" t="n"/>
      <c r="H87" s="349" t="n"/>
    </row>
    <row r="88">
      <c r="B88" s="121" t="inlineStr">
        <is>
          <t>ESIC payable</t>
        </is>
      </c>
      <c r="C88" s="348" t="n"/>
      <c r="D88" s="348" t="n"/>
      <c r="E88" s="348" t="n"/>
      <c r="F88" s="348" t="n"/>
      <c r="G88" s="348" t="n"/>
      <c r="H88" s="349" t="n"/>
    </row>
    <row r="89">
      <c r="B89" s="121" t="inlineStr">
        <is>
          <t>PF payable</t>
        </is>
      </c>
      <c r="C89" s="348" t="n"/>
      <c r="D89" s="348" t="n"/>
      <c r="E89" s="348" t="n"/>
      <c r="F89" s="348" t="n"/>
      <c r="G89" s="348" t="n"/>
      <c r="H89" s="349" t="n"/>
    </row>
    <row r="90">
      <c r="B90" s="121" t="inlineStr">
        <is>
          <t>Leave encashment payable</t>
        </is>
      </c>
      <c r="C90" s="348" t="n"/>
      <c r="D90" s="348" t="n"/>
      <c r="E90" s="348" t="n"/>
      <c r="F90" s="348" t="n"/>
      <c r="G90" s="348" t="n"/>
      <c r="H90" s="349" t="n"/>
    </row>
    <row r="91">
      <c r="B91" s="121" t="inlineStr">
        <is>
          <t>Security taken for service centre</t>
        </is>
      </c>
      <c r="C91" s="348" t="n"/>
      <c r="D91" s="348" t="n"/>
      <c r="E91" s="348" t="n"/>
      <c r="F91" s="348" t="n"/>
      <c r="G91" s="348" t="n"/>
      <c r="H91" s="349" t="n"/>
    </row>
    <row r="92" hidden="1">
      <c r="B92" s="132" t="n"/>
      <c r="C92" s="348" t="n"/>
      <c r="D92" s="348" t="n"/>
      <c r="E92" s="348" t="n"/>
      <c r="F92" s="348" t="n"/>
      <c r="G92" s="348" t="n"/>
      <c r="H92" s="334" t="n"/>
    </row>
    <row r="93" hidden="1">
      <c r="B93" s="132" t="n"/>
      <c r="C93" s="348" t="n"/>
      <c r="D93" s="348" t="n"/>
      <c r="E93" s="348" t="n"/>
      <c r="F93" s="348" t="n"/>
      <c r="G93" s="348" t="n"/>
      <c r="H93" s="334" t="n"/>
    </row>
    <row r="94" hidden="1">
      <c r="B94" s="132" t="n"/>
      <c r="C94" s="348" t="n"/>
      <c r="D94" s="348" t="n"/>
      <c r="E94" s="348" t="n"/>
      <c r="F94" s="348" t="n"/>
      <c r="G94" s="348" t="n"/>
      <c r="H94" s="334" t="n"/>
    </row>
    <row r="95" hidden="1">
      <c r="B95" s="132" t="n"/>
      <c r="C95" s="348" t="n"/>
      <c r="D95" s="348" t="n"/>
      <c r="E95" s="348" t="n"/>
      <c r="F95" s="348" t="n"/>
      <c r="G95" s="348" t="n"/>
      <c r="H95" s="334" t="n"/>
    </row>
    <row r="96" hidden="1">
      <c r="B96" s="132" t="n"/>
      <c r="C96" s="348" t="n"/>
      <c r="D96" s="348" t="n"/>
      <c r="E96" s="348" t="n"/>
      <c r="F96" s="348" t="n"/>
      <c r="G96" s="348" t="n"/>
      <c r="H96" s="334" t="n"/>
    </row>
    <row r="97" hidden="1">
      <c r="B97" s="132" t="n"/>
      <c r="C97" s="348" t="n"/>
      <c r="D97" s="348" t="n"/>
      <c r="E97" s="348" t="n"/>
      <c r="F97" s="348" t="n"/>
      <c r="G97" s="348" t="n"/>
      <c r="H97" s="334" t="n"/>
    </row>
    <row r="98" hidden="1">
      <c r="B98" s="132" t="n"/>
      <c r="C98" s="348" t="n"/>
      <c r="D98" s="348" t="n"/>
      <c r="E98" s="348" t="n"/>
      <c r="F98" s="348" t="n"/>
      <c r="G98" s="348" t="n"/>
      <c r="H98" s="334" t="n"/>
    </row>
    <row r="99" hidden="1">
      <c r="B99" s="132" t="n"/>
      <c r="C99" s="348" t="n"/>
      <c r="D99" s="348" t="n"/>
      <c r="E99" s="348" t="n"/>
      <c r="F99" s="348" t="n"/>
      <c r="G99" s="348" t="n"/>
      <c r="H99" s="334" t="n"/>
    </row>
    <row r="100" hidden="1">
      <c r="B100" s="132" t="n"/>
      <c r="C100" s="348" t="n"/>
      <c r="D100" s="348" t="n"/>
      <c r="E100" s="348" t="n"/>
      <c r="F100" s="348" t="n"/>
      <c r="G100" s="348" t="n"/>
      <c r="H100" s="334" t="n"/>
    </row>
    <row r="101" hidden="1">
      <c r="B101" s="132" t="n"/>
      <c r="C101" s="348" t="n"/>
      <c r="D101" s="348" t="n"/>
      <c r="E101" s="348" t="n"/>
      <c r="F101" s="348" t="n"/>
      <c r="G101" s="348" t="n"/>
      <c r="H101" s="334" t="n"/>
    </row>
    <row r="102">
      <c r="B102" s="121" t="inlineStr">
        <is>
          <t>Other payables</t>
        </is>
      </c>
      <c r="C102" s="348" t="n"/>
      <c r="D102" s="348" t="n"/>
      <c r="E102" s="348" t="n"/>
      <c r="F102" s="348" t="n"/>
      <c r="G102" s="348" t="n"/>
      <c r="H102" s="349" t="n"/>
    </row>
    <row r="103">
      <c r="B103" s="126" t="inlineStr">
        <is>
          <t>Total</t>
        </is>
      </c>
      <c r="C103" s="344">
        <f>SUM(C86:C102)</f>
        <v/>
      </c>
      <c r="D103" s="344">
        <f>SUM(D86:D102)</f>
        <v/>
      </c>
      <c r="E103" s="344">
        <f>SUM(E86:E102)</f>
        <v/>
      </c>
      <c r="F103" s="344">
        <f>SUM(F86:F102)</f>
        <v/>
      </c>
      <c r="G103" s="344">
        <f>SUM(G86:G102)</f>
        <v/>
      </c>
      <c r="H103" s="348" t="n"/>
    </row>
    <row r="104">
      <c r="B104" s="66" t="n"/>
      <c r="C104" s="345" t="n"/>
      <c r="D104" s="345" t="n"/>
      <c r="E104" s="345" t="n"/>
      <c r="F104" s="345" t="n"/>
      <c r="G104" s="345" t="n"/>
      <c r="H104" s="348" t="n"/>
    </row>
    <row r="105">
      <c r="B105" s="124" t="inlineStr">
        <is>
          <t>Fixed assets</t>
        </is>
      </c>
      <c r="C105" s="343" t="n"/>
      <c r="D105" s="343" t="n"/>
      <c r="E105" s="343" t="n"/>
      <c r="F105" s="343" t="n"/>
      <c r="G105" s="343" t="n"/>
      <c r="H105" s="348" t="n"/>
    </row>
    <row r="106">
      <c r="B106" s="134" t="inlineStr">
        <is>
          <t>Particulars</t>
        </is>
      </c>
      <c r="C106" s="333">
        <f>C6</f>
        <v/>
      </c>
      <c r="D106" s="333">
        <f>D6</f>
        <v/>
      </c>
      <c r="E106" s="333">
        <f>E6</f>
        <v/>
      </c>
      <c r="F106" s="333">
        <f>F6</f>
        <v/>
      </c>
      <c r="G106" s="333">
        <f>G6</f>
        <v/>
      </c>
      <c r="H106" s="348" t="n"/>
    </row>
    <row r="107">
      <c r="B107" s="132" t="inlineStr">
        <is>
          <t>Property, plant and equipments</t>
        </is>
      </c>
      <c r="C107" s="350" t="n"/>
      <c r="D107" s="350" t="n"/>
      <c r="E107" s="350" t="n"/>
      <c r="F107" s="350" t="n"/>
      <c r="G107" s="350" t="n"/>
      <c r="H107" s="348" t="n"/>
    </row>
    <row r="108">
      <c r="B108" s="122" t="inlineStr">
        <is>
          <t>Electrical installation &amp; equipments</t>
        </is>
      </c>
      <c r="C108" s="348" t="n"/>
      <c r="D108" s="348" t="n"/>
      <c r="E108" s="348" t="n"/>
      <c r="F108" s="348" t="n"/>
      <c r="G108" s="348" t="n"/>
      <c r="H108" s="348" t="n"/>
    </row>
    <row r="109">
      <c r="B109" s="122" t="inlineStr">
        <is>
          <t>Office equipments</t>
        </is>
      </c>
      <c r="C109" s="348" t="n"/>
      <c r="D109" s="348" t="n"/>
      <c r="E109" s="348" t="n"/>
      <c r="F109" s="348" t="n"/>
      <c r="G109" s="348" t="n"/>
      <c r="H109" s="345" t="n"/>
    </row>
    <row r="110">
      <c r="B110" s="122" t="inlineStr">
        <is>
          <t>Vehicles (cars)</t>
        </is>
      </c>
      <c r="C110" s="348" t="n"/>
      <c r="D110" s="348" t="n"/>
      <c r="E110" s="348" t="n"/>
      <c r="F110" s="348" t="n"/>
      <c r="G110" s="348" t="n"/>
    </row>
    <row r="111">
      <c r="B111" s="122" t="inlineStr">
        <is>
          <t>Vehicles (other)</t>
        </is>
      </c>
      <c r="C111" s="348" t="n"/>
      <c r="D111" s="348" t="n"/>
      <c r="E111" s="348" t="n"/>
      <c r="F111" s="348" t="n"/>
      <c r="G111" s="348" t="n"/>
    </row>
    <row r="112">
      <c r="B112" s="122" t="inlineStr">
        <is>
          <t>Furniture &amp; fixtures</t>
        </is>
      </c>
      <c r="C112" s="348" t="n"/>
      <c r="D112" s="348" t="n"/>
      <c r="E112" s="348" t="n"/>
      <c r="F112" s="348" t="n"/>
      <c r="G112" s="348" t="n"/>
    </row>
    <row r="113">
      <c r="B113" s="122" t="inlineStr">
        <is>
          <t>Land</t>
        </is>
      </c>
      <c r="C113" s="348" t="n"/>
      <c r="D113" s="348" t="n"/>
      <c r="E113" s="348" t="n"/>
      <c r="F113" s="348" t="n"/>
      <c r="G113" s="348" t="n"/>
      <c r="H113" s="348" t="n"/>
    </row>
    <row r="114">
      <c r="B114" s="122" t="inlineStr">
        <is>
          <t>Building</t>
        </is>
      </c>
      <c r="C114" s="348" t="n"/>
      <c r="D114" s="348" t="n"/>
      <c r="E114" s="348" t="n"/>
      <c r="F114" s="348" t="n"/>
      <c r="G114" s="348" t="n"/>
      <c r="H114" s="348" t="n"/>
    </row>
    <row r="115">
      <c r="B115" s="122" t="inlineStr">
        <is>
          <t>Machinery</t>
        </is>
      </c>
      <c r="C115" s="348" t="n"/>
      <c r="D115" s="348" t="n"/>
      <c r="E115" s="348" t="n"/>
      <c r="F115" s="348" t="n"/>
      <c r="G115" s="348" t="n"/>
      <c r="H115" s="348" t="n"/>
    </row>
    <row r="116">
      <c r="B116" s="122" t="inlineStr">
        <is>
          <t>Intangible</t>
        </is>
      </c>
      <c r="C116" s="348" t="n"/>
      <c r="D116" s="348" t="n"/>
      <c r="E116" s="348" t="n"/>
      <c r="F116" s="348" t="n"/>
      <c r="G116" s="348" t="n"/>
      <c r="H116" s="348" t="n"/>
    </row>
    <row r="117" hidden="1">
      <c r="B117" s="122" t="n"/>
      <c r="C117" s="348" t="n"/>
      <c r="D117" s="348" t="n"/>
      <c r="E117" s="348" t="n"/>
      <c r="F117" s="348" t="n"/>
      <c r="G117" s="348" t="n"/>
      <c r="H117" s="348" t="n"/>
    </row>
    <row r="118" hidden="1">
      <c r="B118" s="122" t="n"/>
      <c r="C118" s="348" t="n"/>
      <c r="D118" s="348" t="n"/>
      <c r="E118" s="348" t="n"/>
      <c r="F118" s="348" t="n"/>
      <c r="G118" s="348" t="n"/>
      <c r="H118" s="348" t="n"/>
    </row>
    <row r="119" hidden="1">
      <c r="B119" s="122" t="n"/>
      <c r="C119" s="348" t="n"/>
      <c r="D119" s="348" t="n"/>
      <c r="E119" s="348" t="n"/>
      <c r="F119" s="348" t="n"/>
      <c r="G119" s="348" t="n"/>
      <c r="H119" s="348" t="n"/>
    </row>
    <row r="120" hidden="1">
      <c r="B120" s="122" t="n"/>
      <c r="C120" s="348" t="n"/>
      <c r="D120" s="348" t="n"/>
      <c r="E120" s="348" t="n"/>
      <c r="F120" s="348" t="n"/>
      <c r="G120" s="348" t="n"/>
      <c r="H120" s="348" t="n"/>
    </row>
    <row r="121" hidden="1">
      <c r="B121" s="122" t="n"/>
      <c r="C121" s="348" t="n"/>
      <c r="D121" s="348" t="n"/>
      <c r="E121" s="348" t="n"/>
      <c r="F121" s="348" t="n"/>
      <c r="G121" s="348" t="n"/>
      <c r="H121" s="348" t="n"/>
    </row>
    <row r="122" hidden="1">
      <c r="B122" s="122" t="n"/>
      <c r="C122" s="348" t="n"/>
      <c r="D122" s="348" t="n"/>
      <c r="E122" s="348" t="n"/>
      <c r="F122" s="348" t="n"/>
      <c r="G122" s="348" t="n"/>
      <c r="H122" s="348" t="n"/>
    </row>
    <row r="123" hidden="1">
      <c r="B123" s="122" t="n"/>
      <c r="C123" s="348" t="n"/>
      <c r="D123" s="348" t="n"/>
      <c r="E123" s="348" t="n"/>
      <c r="F123" s="348" t="n"/>
      <c r="G123" s="348" t="n"/>
      <c r="H123" s="348" t="n"/>
    </row>
    <row r="124" hidden="1">
      <c r="B124" s="122" t="n"/>
      <c r="C124" s="348" t="n"/>
      <c r="D124" s="348" t="n"/>
      <c r="E124" s="348" t="n"/>
      <c r="F124" s="348" t="n"/>
      <c r="G124" s="348" t="n"/>
      <c r="H124" s="348" t="n"/>
    </row>
    <row r="125" hidden="1">
      <c r="B125" s="122" t="n"/>
      <c r="C125" s="348" t="n"/>
      <c r="D125" s="348" t="n"/>
      <c r="E125" s="348" t="n"/>
      <c r="F125" s="348" t="n"/>
      <c r="G125" s="348" t="n"/>
      <c r="H125" s="348" t="n"/>
    </row>
    <row r="126" hidden="1">
      <c r="B126" s="122" t="n"/>
      <c r="C126" s="348" t="n"/>
      <c r="D126" s="348" t="n"/>
      <c r="E126" s="348" t="n"/>
      <c r="F126" s="348" t="n"/>
      <c r="G126" s="348" t="n"/>
      <c r="H126" s="348" t="n"/>
    </row>
    <row r="127">
      <c r="B127" s="122" t="inlineStr">
        <is>
          <t>Computers</t>
        </is>
      </c>
      <c r="C127" s="348" t="n"/>
      <c r="D127" s="348" t="n"/>
      <c r="E127" s="348" t="n"/>
      <c r="F127" s="348" t="n"/>
      <c r="G127" s="348" t="n"/>
    </row>
    <row r="128">
      <c r="B128" s="126" t="inlineStr">
        <is>
          <t>Total</t>
        </is>
      </c>
      <c r="C128" s="344">
        <f>SUM(C108:C127)</f>
        <v/>
      </c>
      <c r="D128" s="344">
        <f>SUM(D108:D127)</f>
        <v/>
      </c>
      <c r="E128" s="344">
        <f>SUM(E108:E127)</f>
        <v/>
      </c>
      <c r="F128" s="344">
        <f>SUM(F108:F127)</f>
        <v/>
      </c>
      <c r="G128" s="344">
        <f>SUM(G108:G127)</f>
        <v/>
      </c>
      <c r="H128" s="345" t="n"/>
    </row>
    <row r="129">
      <c r="B129" s="66" t="n"/>
      <c r="C129" s="345" t="n"/>
      <c r="D129" s="345" t="n"/>
      <c r="E129" s="345" t="n"/>
      <c r="F129" s="345" t="n"/>
      <c r="G129" s="345" t="n"/>
      <c r="H129" s="345" t="n"/>
    </row>
    <row r="130">
      <c r="B130" s="133" t="inlineStr">
        <is>
          <t>Long term loans &amp; advances</t>
        </is>
      </c>
      <c r="C130" s="351" t="n"/>
      <c r="D130" s="351" t="n"/>
      <c r="E130" s="351" t="n"/>
      <c r="F130" s="351" t="n"/>
      <c r="G130" s="351" t="n"/>
    </row>
    <row r="131">
      <c r="B131" s="134" t="inlineStr">
        <is>
          <t>Particulars</t>
        </is>
      </c>
      <c r="C131" s="333">
        <f>C6</f>
        <v/>
      </c>
      <c r="D131" s="333">
        <f>D6</f>
        <v/>
      </c>
      <c r="E131" s="333">
        <f>E6</f>
        <v/>
      </c>
      <c r="F131" s="333">
        <f>F6</f>
        <v/>
      </c>
      <c r="G131" s="333">
        <f>G6</f>
        <v/>
      </c>
      <c r="H131" s="334" t="n"/>
    </row>
    <row r="132" hidden="1">
      <c r="B132" s="68" t="n"/>
      <c r="C132" s="329" t="n"/>
      <c r="D132" s="329" t="n"/>
      <c r="E132" s="329" t="n"/>
      <c r="F132" s="329" t="n"/>
      <c r="G132" s="329" t="n"/>
      <c r="H132" s="334" t="n"/>
    </row>
    <row r="133" hidden="1">
      <c r="B133" s="68" t="n"/>
      <c r="C133" s="329" t="n"/>
      <c r="D133" s="329" t="n"/>
      <c r="E133" s="329" t="n"/>
      <c r="F133" s="329" t="n"/>
      <c r="G133" s="329" t="n"/>
      <c r="H133" s="334" t="n"/>
    </row>
    <row r="134" hidden="1">
      <c r="B134" s="68" t="n"/>
      <c r="C134" s="329" t="n"/>
      <c r="D134" s="329" t="n"/>
      <c r="E134" s="329" t="n"/>
      <c r="F134" s="329" t="n"/>
      <c r="G134" s="329" t="n"/>
      <c r="H134" s="334" t="n"/>
    </row>
    <row r="135" hidden="1">
      <c r="B135" s="68" t="n"/>
      <c r="C135" s="329" t="n"/>
      <c r="D135" s="329" t="n"/>
      <c r="E135" s="329" t="n"/>
      <c r="F135" s="329" t="n"/>
      <c r="G135" s="329" t="n"/>
      <c r="H135" s="334" t="n"/>
    </row>
    <row r="136" hidden="1">
      <c r="B136" s="68" t="n"/>
      <c r="C136" s="329" t="n"/>
      <c r="D136" s="329" t="n"/>
      <c r="E136" s="329" t="n"/>
      <c r="F136" s="329" t="n"/>
      <c r="G136" s="329" t="n"/>
      <c r="H136" s="334" t="n"/>
    </row>
    <row r="137" hidden="1">
      <c r="B137" s="68" t="n"/>
      <c r="C137" s="329" t="n"/>
      <c r="D137" s="329" t="n"/>
      <c r="E137" s="329" t="n"/>
      <c r="F137" s="329" t="n"/>
      <c r="G137" s="329" t="n"/>
      <c r="H137" s="334" t="n"/>
    </row>
    <row r="138" hidden="1">
      <c r="B138" s="68" t="n"/>
      <c r="C138" s="329" t="n"/>
      <c r="D138" s="329" t="n"/>
      <c r="E138" s="329" t="n"/>
      <c r="F138" s="329" t="n"/>
      <c r="G138" s="329" t="n"/>
      <c r="H138" s="334" t="n"/>
    </row>
    <row r="139" hidden="1">
      <c r="B139" s="68" t="n"/>
      <c r="C139" s="329" t="n"/>
      <c r="D139" s="329" t="n"/>
      <c r="E139" s="329" t="n"/>
      <c r="F139" s="329" t="n"/>
      <c r="G139" s="329" t="n"/>
      <c r="H139" s="334" t="n"/>
    </row>
    <row r="140" hidden="1">
      <c r="B140" s="68" t="n"/>
      <c r="C140" s="329" t="n"/>
      <c r="D140" s="329" t="n"/>
      <c r="E140" s="329" t="n"/>
      <c r="F140" s="329" t="n"/>
      <c r="G140" s="329" t="n"/>
      <c r="H140" s="334" t="n"/>
    </row>
    <row r="141" hidden="1">
      <c r="B141" s="68" t="n"/>
      <c r="C141" s="329" t="n"/>
      <c r="D141" s="329" t="n"/>
      <c r="E141" s="329" t="n"/>
      <c r="F141" s="329" t="n"/>
      <c r="G141" s="329" t="n"/>
      <c r="H141" s="334" t="n"/>
    </row>
    <row r="142">
      <c r="B142" s="68" t="inlineStr">
        <is>
          <t>Security deposits</t>
        </is>
      </c>
      <c r="C142" s="329" t="n"/>
      <c r="D142" s="329" t="n"/>
      <c r="E142" s="329" t="n"/>
      <c r="F142" s="329" t="n"/>
      <c r="G142" s="329" t="n"/>
      <c r="H142" s="334" t="n"/>
    </row>
    <row r="143">
      <c r="B143" s="126" t="inlineStr">
        <is>
          <t>Total</t>
        </is>
      </c>
      <c r="C143" s="344">
        <f>SUM(C132:C142)</f>
        <v/>
      </c>
      <c r="D143" s="344">
        <f>SUM(D132:D142)</f>
        <v/>
      </c>
      <c r="E143" s="344">
        <f>SUM(E132:E142)</f>
        <v/>
      </c>
      <c r="F143" s="344">
        <f>SUM(F132:F142)</f>
        <v/>
      </c>
      <c r="G143" s="344">
        <f>SUM(G132:G142)</f>
        <v/>
      </c>
    </row>
    <row r="144">
      <c r="B144" s="66" t="n"/>
      <c r="C144" s="345" t="n"/>
      <c r="D144" s="345" t="n"/>
      <c r="E144" s="345" t="n"/>
      <c r="F144" s="345" t="n"/>
      <c r="G144" s="345" t="n"/>
      <c r="H144" s="338" t="n"/>
    </row>
    <row r="145">
      <c r="B145" s="133" t="inlineStr">
        <is>
          <t>Non-current investments</t>
        </is>
      </c>
      <c r="C145" s="351" t="n"/>
      <c r="D145" s="351" t="n"/>
      <c r="E145" s="351" t="n"/>
      <c r="F145" s="351" t="n"/>
      <c r="G145" s="351" t="n"/>
      <c r="H145" s="338" t="n"/>
    </row>
    <row r="146">
      <c r="B146" s="134" t="inlineStr">
        <is>
          <t>Particulars</t>
        </is>
      </c>
      <c r="C146" s="333">
        <f>C6</f>
        <v/>
      </c>
      <c r="D146" s="333">
        <f>D6</f>
        <v/>
      </c>
      <c r="E146" s="333">
        <f>E6</f>
        <v/>
      </c>
      <c r="F146" s="333">
        <f>F6</f>
        <v/>
      </c>
      <c r="G146" s="333">
        <f>G6</f>
        <v/>
      </c>
      <c r="H146" s="338" t="n"/>
    </row>
    <row r="147">
      <c r="B147" s="67" t="inlineStr">
        <is>
          <t>Investment in shares</t>
        </is>
      </c>
      <c r="C147" s="338" t="n"/>
      <c r="D147" s="338" t="n"/>
      <c r="E147" s="338" t="n"/>
      <c r="F147" s="338" t="n"/>
      <c r="G147" s="338" t="n"/>
      <c r="H147" s="338" t="n"/>
    </row>
    <row r="148">
      <c r="B148" s="67" t="inlineStr">
        <is>
          <t>Others</t>
        </is>
      </c>
      <c r="C148" s="338" t="n"/>
      <c r="D148" s="338" t="n"/>
      <c r="E148" s="338" t="n"/>
      <c r="F148" s="338" t="n"/>
      <c r="G148" s="338" t="n"/>
      <c r="H148" s="338" t="n"/>
    </row>
    <row r="149" hidden="1">
      <c r="B149" s="67" t="n"/>
      <c r="C149" s="338" t="n"/>
      <c r="D149" s="338" t="n"/>
      <c r="E149" s="338" t="n"/>
      <c r="F149" s="338" t="n"/>
      <c r="G149" s="338" t="n"/>
      <c r="H149" s="338" t="n"/>
    </row>
    <row r="150" hidden="1">
      <c r="B150" s="67" t="n"/>
      <c r="C150" s="338" t="n"/>
      <c r="D150" s="338" t="n"/>
      <c r="E150" s="338" t="n"/>
      <c r="F150" s="338" t="n"/>
      <c r="G150" s="338" t="n"/>
      <c r="H150" s="338" t="n"/>
    </row>
    <row r="151" hidden="1">
      <c r="B151" s="67" t="n"/>
      <c r="C151" s="338" t="n"/>
      <c r="D151" s="338" t="n"/>
      <c r="E151" s="338" t="n"/>
      <c r="F151" s="338" t="n"/>
      <c r="G151" s="338" t="n"/>
      <c r="H151" s="338" t="n"/>
    </row>
    <row r="152" hidden="1">
      <c r="B152" s="67" t="n"/>
      <c r="C152" s="338" t="n"/>
      <c r="D152" s="338" t="n"/>
      <c r="E152" s="338" t="n"/>
      <c r="F152" s="338" t="n"/>
      <c r="G152" s="338" t="n"/>
      <c r="H152" s="338" t="n"/>
    </row>
    <row r="153">
      <c r="B153" s="250" t="inlineStr">
        <is>
          <t>Investment in mutual funds</t>
        </is>
      </c>
      <c r="C153" s="329" t="n"/>
      <c r="D153" s="329" t="n"/>
      <c r="E153" s="329" t="n"/>
      <c r="F153" s="329" t="n"/>
      <c r="G153" s="329" t="n"/>
      <c r="H153" s="338" t="n"/>
    </row>
    <row r="154">
      <c r="B154" s="126" t="inlineStr">
        <is>
          <t>Total</t>
        </is>
      </c>
      <c r="C154" s="344">
        <f>SUM(C147:C153)</f>
        <v/>
      </c>
      <c r="D154" s="344">
        <f>SUM(D147:D153)</f>
        <v/>
      </c>
      <c r="E154" s="344">
        <f>SUM(E147:E153)</f>
        <v/>
      </c>
      <c r="F154" s="344">
        <f>SUM(F147:F153)</f>
        <v/>
      </c>
      <c r="G154" s="344">
        <f>SUM(G147:G153)</f>
        <v/>
      </c>
      <c r="H154" s="338" t="n"/>
    </row>
    <row r="155">
      <c r="B155" s="66" t="n"/>
      <c r="C155" s="345" t="n"/>
      <c r="D155" s="345" t="n"/>
      <c r="E155" s="345" t="n"/>
      <c r="F155" s="345" t="n"/>
      <c r="G155" s="345" t="n"/>
      <c r="H155" s="338" t="n"/>
    </row>
    <row r="156">
      <c r="B156" s="124" t="inlineStr">
        <is>
          <t>Trade receivables</t>
        </is>
      </c>
      <c r="C156" s="343" t="n"/>
      <c r="D156" s="343" t="n"/>
      <c r="E156" s="343" t="n"/>
      <c r="F156" s="343" t="n"/>
      <c r="G156" s="343" t="n"/>
      <c r="H156" s="334" t="n"/>
    </row>
    <row r="157">
      <c r="B157" s="134" t="inlineStr">
        <is>
          <t>Particulars</t>
        </is>
      </c>
      <c r="C157" s="333">
        <f>C6</f>
        <v/>
      </c>
      <c r="D157" s="333">
        <f>D6</f>
        <v/>
      </c>
      <c r="E157" s="333">
        <f>E6</f>
        <v/>
      </c>
      <c r="F157" s="333">
        <f>F6</f>
        <v/>
      </c>
      <c r="G157" s="333">
        <f>G6</f>
        <v/>
      </c>
      <c r="H157" s="334" t="n"/>
    </row>
    <row r="158">
      <c r="B158" s="67" t="inlineStr">
        <is>
          <t>Outstanding for a period more than six months</t>
        </is>
      </c>
      <c r="C158" s="338" t="n"/>
      <c r="D158" s="338" t="n"/>
      <c r="E158" s="338" t="n"/>
      <c r="F158" s="338" t="n"/>
      <c r="G158" s="338" t="n"/>
    </row>
    <row r="159">
      <c r="B159" s="67" t="inlineStr">
        <is>
          <t>Outstanding for a period less than six months</t>
        </is>
      </c>
      <c r="C159" s="338" t="n"/>
      <c r="D159" s="338" t="n"/>
      <c r="E159" s="338" t="n"/>
      <c r="F159" s="338" t="n"/>
      <c r="G159" s="338" t="n"/>
      <c r="H159" s="334" t="n"/>
    </row>
    <row r="160" hidden="1">
      <c r="B160" s="67" t="n"/>
      <c r="C160" s="338" t="n"/>
      <c r="D160" s="338" t="n"/>
      <c r="E160" s="338" t="n"/>
      <c r="F160" s="338" t="n"/>
      <c r="G160" s="338" t="n"/>
    </row>
    <row r="161" hidden="1">
      <c r="B161" s="67" t="n"/>
      <c r="C161" s="338" t="n"/>
      <c r="D161" s="338" t="n"/>
      <c r="E161" s="338" t="n"/>
      <c r="F161" s="338" t="n"/>
      <c r="G161" s="338" t="n"/>
    </row>
    <row r="162" hidden="1">
      <c r="B162" s="67" t="n"/>
      <c r="C162" s="338" t="n"/>
      <c r="D162" s="338" t="n"/>
      <c r="E162" s="338" t="n"/>
      <c r="F162" s="338" t="n"/>
      <c r="G162" s="338" t="n"/>
    </row>
    <row r="163" hidden="1">
      <c r="B163" s="67" t="n"/>
      <c r="C163" s="338" t="n"/>
      <c r="D163" s="338" t="n"/>
      <c r="E163" s="338" t="n"/>
      <c r="F163" s="338" t="n"/>
      <c r="G163" s="338" t="n"/>
    </row>
    <row r="164" hidden="1">
      <c r="B164" s="67" t="n"/>
      <c r="C164" s="338" t="n"/>
      <c r="D164" s="338" t="n"/>
      <c r="E164" s="338" t="n"/>
      <c r="F164" s="338" t="n"/>
      <c r="G164" s="338" t="n"/>
    </row>
    <row r="165">
      <c r="B165" s="169" t="inlineStr">
        <is>
          <t>Advance paid to suppliers</t>
        </is>
      </c>
      <c r="C165" s="335" t="n"/>
      <c r="D165" s="335" t="n"/>
      <c r="E165" s="335" t="n"/>
      <c r="F165" s="335" t="n"/>
      <c r="G165" s="335" t="n"/>
    </row>
    <row r="166">
      <c r="B166" s="135" t="inlineStr">
        <is>
          <t>Total</t>
        </is>
      </c>
      <c r="C166" s="352">
        <f>SUM(C158:C165)</f>
        <v/>
      </c>
      <c r="D166" s="352">
        <f>SUM(D158:D165)</f>
        <v/>
      </c>
      <c r="E166" s="352">
        <f>SUM(E158:E165)</f>
        <v/>
      </c>
      <c r="F166" s="352">
        <f>SUM(F158:F165)</f>
        <v/>
      </c>
      <c r="G166" s="352">
        <f>SUM(G158:G165)</f>
        <v/>
      </c>
      <c r="H166" s="348" t="n"/>
    </row>
    <row r="167">
      <c r="B167" s="166" t="n"/>
      <c r="C167" s="353" t="n"/>
      <c r="D167" s="353" t="n"/>
      <c r="E167" s="353" t="n"/>
      <c r="F167" s="353" t="n"/>
      <c r="G167" s="353" t="n"/>
      <c r="H167" s="348" t="n"/>
    </row>
    <row r="168">
      <c r="B168" s="124" t="inlineStr">
        <is>
          <t>Inventories</t>
        </is>
      </c>
      <c r="C168" s="343" t="n"/>
      <c r="D168" s="343" t="n"/>
      <c r="E168" s="343" t="n"/>
      <c r="F168" s="343" t="n"/>
      <c r="G168" s="343" t="n"/>
      <c r="H168" s="348" t="n"/>
    </row>
    <row r="169">
      <c r="B169" s="134" t="inlineStr">
        <is>
          <t>Particulars</t>
        </is>
      </c>
      <c r="C169" s="333">
        <f>C6</f>
        <v/>
      </c>
      <c r="D169" s="333">
        <f>D6</f>
        <v/>
      </c>
      <c r="E169" s="333">
        <f>E6</f>
        <v/>
      </c>
      <c r="F169" s="333">
        <f>F6</f>
        <v/>
      </c>
      <c r="G169" s="333">
        <f>G6</f>
        <v/>
      </c>
      <c r="H169" s="348" t="n"/>
    </row>
    <row r="170">
      <c r="B170" s="67" t="inlineStr">
        <is>
          <t>Raw material</t>
        </is>
      </c>
      <c r="C170" s="338" t="n"/>
      <c r="D170" s="338" t="n"/>
      <c r="E170" s="338" t="n"/>
      <c r="F170" s="338" t="n"/>
      <c r="G170" s="338" t="n"/>
      <c r="H170" s="348" t="n"/>
    </row>
    <row r="171">
      <c r="B171" s="67" t="inlineStr">
        <is>
          <t>Work-in-progress</t>
        </is>
      </c>
      <c r="C171" s="330" t="n"/>
      <c r="D171" s="330" t="n"/>
      <c r="E171" s="330" t="n"/>
      <c r="F171" s="330" t="n"/>
      <c r="G171" s="330" t="n"/>
      <c r="H171" s="348" t="n"/>
    </row>
    <row r="172">
      <c r="B172" s="167" t="inlineStr">
        <is>
          <t>Finished goods</t>
        </is>
      </c>
      <c r="C172" s="338" t="n"/>
      <c r="D172" s="338" t="n"/>
      <c r="E172" s="338" t="n"/>
      <c r="F172" s="338" t="n"/>
      <c r="G172" s="338" t="n"/>
      <c r="H172" s="348" t="n"/>
    </row>
    <row r="173" hidden="1">
      <c r="B173" s="67" t="n"/>
      <c r="C173" s="338" t="n"/>
      <c r="D173" s="338" t="n"/>
      <c r="E173" s="338" t="n"/>
      <c r="F173" s="338" t="n"/>
      <c r="G173" s="338" t="n"/>
      <c r="H173" s="348" t="n"/>
    </row>
    <row r="174" hidden="1">
      <c r="B174" s="67" t="n"/>
      <c r="C174" s="338" t="n"/>
      <c r="D174" s="338" t="n"/>
      <c r="E174" s="338" t="n"/>
      <c r="F174" s="338" t="n"/>
      <c r="G174" s="338" t="n"/>
      <c r="H174" s="348" t="n"/>
    </row>
    <row r="175" hidden="1">
      <c r="B175" s="67" t="n"/>
      <c r="C175" s="338" t="n"/>
      <c r="D175" s="338" t="n"/>
      <c r="E175" s="338" t="n"/>
      <c r="F175" s="338" t="n"/>
      <c r="G175" s="338" t="n"/>
      <c r="H175" s="348" t="n"/>
    </row>
    <row r="176" hidden="1">
      <c r="B176" s="67" t="n"/>
      <c r="C176" s="338" t="n"/>
      <c r="D176" s="338" t="n"/>
      <c r="E176" s="338" t="n"/>
      <c r="F176" s="338" t="n"/>
      <c r="G176" s="338" t="n"/>
      <c r="H176" s="348" t="n"/>
    </row>
    <row r="177" hidden="1">
      <c r="B177" s="67" t="n"/>
      <c r="C177" s="338" t="n"/>
      <c r="D177" s="338" t="n"/>
      <c r="E177" s="338" t="n"/>
      <c r="F177" s="338" t="n"/>
      <c r="G177" s="338" t="n"/>
      <c r="H177" s="348" t="n"/>
    </row>
    <row r="178" hidden="1">
      <c r="B178" s="67" t="n"/>
      <c r="C178" s="338" t="n"/>
      <c r="D178" s="338" t="n"/>
      <c r="E178" s="338" t="n"/>
      <c r="F178" s="338" t="n"/>
      <c r="G178" s="338" t="n"/>
      <c r="H178" s="348" t="n"/>
    </row>
    <row r="179">
      <c r="B179" s="67" t="inlineStr">
        <is>
          <t>Stores and spares</t>
        </is>
      </c>
      <c r="C179" s="335" t="n"/>
      <c r="D179" s="335" t="n"/>
      <c r="E179" s="335" t="n"/>
      <c r="F179" s="335" t="n"/>
      <c r="G179" s="335" t="n"/>
      <c r="H179" s="348" t="n"/>
    </row>
    <row r="180">
      <c r="B180" s="135" t="inlineStr">
        <is>
          <t>Total</t>
        </is>
      </c>
      <c r="C180" s="352">
        <f>SUM(C170:C179)</f>
        <v/>
      </c>
      <c r="D180" s="352">
        <f>SUM(D170:D179)</f>
        <v/>
      </c>
      <c r="E180" s="352">
        <f>SUM(E170:E179)</f>
        <v/>
      </c>
      <c r="F180" s="352">
        <f>SUM(F170:F179)</f>
        <v/>
      </c>
      <c r="G180" s="352">
        <f>SUM(G170:G179)</f>
        <v/>
      </c>
      <c r="H180" s="348" t="n"/>
    </row>
    <row r="181">
      <c r="B181" s="166" t="n"/>
      <c r="C181" s="353" t="n"/>
      <c r="D181" s="353" t="n"/>
      <c r="E181" s="353" t="n"/>
      <c r="F181" s="353" t="n"/>
      <c r="G181" s="353" t="n"/>
      <c r="H181" s="348" t="n"/>
    </row>
    <row r="182">
      <c r="B182" s="124" t="inlineStr">
        <is>
          <t>Cash and cash equivalents</t>
        </is>
      </c>
      <c r="C182" s="343" t="n"/>
      <c r="D182" s="343" t="n"/>
      <c r="E182" s="343" t="n"/>
      <c r="F182" s="343" t="n"/>
      <c r="G182" s="343" t="n"/>
      <c r="H182" s="342" t="n"/>
    </row>
    <row r="183">
      <c r="B183" s="134" t="inlineStr">
        <is>
          <t>Particulars</t>
        </is>
      </c>
      <c r="C183" s="333">
        <f>C6</f>
        <v/>
      </c>
      <c r="D183" s="333">
        <f>D6</f>
        <v/>
      </c>
      <c r="E183" s="333">
        <f>E6</f>
        <v/>
      </c>
      <c r="F183" s="333">
        <f>F6</f>
        <v/>
      </c>
      <c r="G183" s="333">
        <f>G6</f>
        <v/>
      </c>
    </row>
    <row r="184">
      <c r="B184" s="121" t="inlineStr">
        <is>
          <t>Cash on hand</t>
        </is>
      </c>
    </row>
    <row r="185">
      <c r="B185" s="121" t="inlineStr">
        <is>
          <t>Balances with banks</t>
        </is>
      </c>
      <c r="C185" s="354" t="n"/>
      <c r="D185" s="354" t="n"/>
      <c r="E185" s="354" t="n"/>
      <c r="F185" s="354" t="n"/>
      <c r="G185" s="354" t="n"/>
      <c r="H185" s="334" t="n"/>
    </row>
    <row r="186" hidden="1">
      <c r="B186" s="121" t="n"/>
    </row>
    <row r="187" hidden="1">
      <c r="B187" s="121" t="n"/>
    </row>
    <row r="188" hidden="1">
      <c r="B188" s="121" t="n"/>
    </row>
    <row r="189" hidden="1">
      <c r="B189" s="121" t="n"/>
    </row>
    <row r="190" hidden="1">
      <c r="B190" s="121" t="n"/>
    </row>
    <row r="191" hidden="1">
      <c r="B191" s="121" t="n"/>
    </row>
    <row r="192">
      <c r="B192" s="121" t="inlineStr">
        <is>
          <t xml:space="preserve">Fixed deposit </t>
        </is>
      </c>
      <c r="C192" s="330" t="n"/>
      <c r="D192" s="330" t="n"/>
      <c r="E192" s="330" t="n"/>
      <c r="F192" s="330" t="n"/>
      <c r="G192" s="330" t="n"/>
      <c r="I192" s="263" t="n"/>
    </row>
    <row r="193">
      <c r="B193" s="126" t="inlineStr">
        <is>
          <t>Total cash and cash equivalents</t>
        </is>
      </c>
      <c r="C193" s="341">
        <f>SUM(C184:C192)</f>
        <v/>
      </c>
      <c r="D193" s="341">
        <f>SUM(D184:D192)</f>
        <v/>
      </c>
      <c r="E193" s="341">
        <f>SUM(E184:E192)</f>
        <v/>
      </c>
      <c r="F193" s="341">
        <f>SUM(F184:F192)</f>
        <v/>
      </c>
      <c r="G193" s="341">
        <f>SUM(G184:G192)</f>
        <v/>
      </c>
    </row>
    <row r="194">
      <c r="B194" s="68" t="inlineStr"/>
      <c r="C194" s="329" t="n"/>
      <c r="D194" s="329" t="n"/>
      <c r="E194" s="329" t="n"/>
      <c r="F194" s="329" t="n"/>
      <c r="G194" s="329" t="n"/>
      <c r="H194" s="331" t="n"/>
    </row>
    <row r="195">
      <c r="B195" s="133" t="inlineStr">
        <is>
          <t>Deferred tax assets (net)</t>
        </is>
      </c>
      <c r="C195" s="351" t="n"/>
      <c r="D195" s="351" t="n"/>
      <c r="E195" s="351" t="n"/>
      <c r="F195" s="351" t="n"/>
      <c r="G195" s="351" t="n"/>
    </row>
    <row r="196">
      <c r="B196" s="134" t="inlineStr">
        <is>
          <t>Particulars</t>
        </is>
      </c>
      <c r="C196" s="333">
        <f>C6</f>
        <v/>
      </c>
      <c r="D196" s="333">
        <f>D6</f>
        <v/>
      </c>
      <c r="E196" s="333">
        <f>E6</f>
        <v/>
      </c>
      <c r="F196" s="333">
        <f>F6</f>
        <v/>
      </c>
      <c r="G196" s="333">
        <f>G6</f>
        <v/>
      </c>
    </row>
    <row r="197">
      <c r="B197" s="172" t="inlineStr">
        <is>
          <t xml:space="preserve">Deferred tax assets </t>
        </is>
      </c>
      <c r="H197" s="334" t="n"/>
    </row>
    <row r="198">
      <c r="B198" s="173" t="inlineStr">
        <is>
          <t>Deferred tax liabilities</t>
        </is>
      </c>
      <c r="H198" s="338" t="n"/>
    </row>
    <row r="199">
      <c r="B199" s="135" t="inlineStr">
        <is>
          <t>Total</t>
        </is>
      </c>
      <c r="C199" s="336">
        <f>C197-C198</f>
        <v/>
      </c>
      <c r="D199" s="336">
        <f>D197-D198</f>
        <v/>
      </c>
      <c r="E199" s="336">
        <f>E197-E198</f>
        <v/>
      </c>
      <c r="F199" s="336">
        <f>F197-F198</f>
        <v/>
      </c>
      <c r="G199" s="336">
        <f>G197-G198</f>
        <v/>
      </c>
      <c r="H199" s="338" t="n"/>
    </row>
    <row r="201">
      <c r="B201" s="133" t="inlineStr">
        <is>
          <t>Short term loans and advances</t>
        </is>
      </c>
      <c r="C201" s="351" t="n"/>
      <c r="D201" s="351" t="n"/>
      <c r="E201" s="351" t="n"/>
      <c r="F201" s="351" t="n"/>
      <c r="G201" s="351" t="n"/>
      <c r="H201" s="331" t="n"/>
    </row>
    <row r="202">
      <c r="B202" s="134" t="inlineStr">
        <is>
          <t>Particulars</t>
        </is>
      </c>
      <c r="C202" s="333">
        <f>C6</f>
        <v/>
      </c>
      <c r="D202" s="333">
        <f>D6</f>
        <v/>
      </c>
      <c r="E202" s="333">
        <f>E6</f>
        <v/>
      </c>
      <c r="F202" s="333">
        <f>F6</f>
        <v/>
      </c>
      <c r="G202" s="333">
        <f>G6</f>
        <v/>
      </c>
    </row>
    <row r="203">
      <c r="B203" s="67" t="inlineStr">
        <is>
          <t xml:space="preserve">Advance tax </t>
        </is>
      </c>
      <c r="C203" s="330" t="n"/>
      <c r="D203" s="330" t="n"/>
      <c r="E203" s="330" t="n"/>
      <c r="F203" s="330" t="n"/>
      <c r="G203" s="330" t="n"/>
    </row>
    <row r="204">
      <c r="B204" s="67" t="inlineStr">
        <is>
          <t>Balance with revenue authorities</t>
        </is>
      </c>
      <c r="C204" s="338" t="n"/>
      <c r="D204" s="338" t="n"/>
      <c r="E204" s="338" t="n"/>
      <c r="F204" s="338" t="n"/>
      <c r="G204" s="338" t="n"/>
      <c r="H204" s="334" t="n"/>
    </row>
    <row r="205" hidden="1">
      <c r="C205" s="330" t="n"/>
      <c r="D205" s="330" t="n"/>
      <c r="E205" s="330" t="n"/>
      <c r="F205" s="330" t="n"/>
      <c r="G205" s="330" t="n"/>
    </row>
    <row r="206" hidden="1">
      <c r="C206" s="330" t="n"/>
      <c r="D206" s="330" t="n"/>
      <c r="E206" s="330" t="n"/>
      <c r="F206" s="330" t="n"/>
      <c r="G206" s="330" t="n"/>
    </row>
    <row r="207" hidden="1">
      <c r="C207" s="330" t="n"/>
      <c r="D207" s="330" t="n"/>
      <c r="E207" s="330" t="n"/>
      <c r="F207" s="330" t="n"/>
      <c r="G207" s="330" t="n"/>
    </row>
    <row r="208" hidden="1">
      <c r="C208" s="330" t="n"/>
      <c r="D208" s="330" t="n"/>
      <c r="E208" s="330" t="n"/>
      <c r="F208" s="330" t="n"/>
      <c r="G208" s="330" t="n"/>
    </row>
    <row r="209" hidden="1">
      <c r="C209" s="330" t="n"/>
      <c r="D209" s="330" t="n"/>
      <c r="E209" s="330" t="n"/>
      <c r="F209" s="330" t="n"/>
      <c r="G209" s="330" t="n"/>
    </row>
    <row r="210" hidden="1">
      <c r="C210" s="330" t="n"/>
      <c r="D210" s="330" t="n"/>
      <c r="E210" s="330" t="n"/>
      <c r="F210" s="330" t="n"/>
      <c r="G210" s="330" t="n"/>
    </row>
    <row r="211" hidden="1">
      <c r="C211" s="330" t="n"/>
      <c r="D211" s="330" t="n"/>
      <c r="E211" s="330" t="n"/>
      <c r="F211" s="330" t="n"/>
      <c r="G211" s="330" t="n"/>
    </row>
    <row r="212" hidden="1">
      <c r="C212" s="330" t="n"/>
      <c r="D212" s="330" t="n"/>
      <c r="E212" s="330" t="n"/>
      <c r="F212" s="330" t="n"/>
      <c r="G212" s="330" t="n"/>
    </row>
    <row r="213" hidden="1">
      <c r="C213" s="330" t="n"/>
      <c r="D213" s="330" t="n"/>
      <c r="E213" s="330" t="n"/>
      <c r="F213" s="330" t="n"/>
      <c r="G213" s="330" t="n"/>
    </row>
    <row r="214" hidden="1">
      <c r="C214" s="330" t="n"/>
      <c r="D214" s="330" t="n"/>
      <c r="E214" s="330" t="n"/>
      <c r="F214" s="330" t="n"/>
      <c r="G214" s="330" t="n"/>
    </row>
    <row r="215">
      <c r="B215" s="136" t="inlineStr">
        <is>
          <t>Advance to employees</t>
        </is>
      </c>
      <c r="H215" s="338" t="n"/>
    </row>
    <row r="216">
      <c r="B216" s="135" t="inlineStr">
        <is>
          <t>Total</t>
        </is>
      </c>
      <c r="C216" s="336">
        <f>SUM(C203:C215)</f>
        <v/>
      </c>
      <c r="D216" s="336">
        <f>SUM(D203:D215)</f>
        <v/>
      </c>
      <c r="E216" s="336">
        <f>SUM(E203:E215)</f>
        <v/>
      </c>
      <c r="F216" s="336">
        <f>SUM(F203:F215)</f>
        <v/>
      </c>
      <c r="G216" s="336">
        <f>SUM(G203:G215)</f>
        <v/>
      </c>
      <c r="H216" s="338" t="n"/>
    </row>
    <row r="217">
      <c r="H217" s="331" t="n"/>
    </row>
    <row r="218">
      <c r="B218" s="133" t="inlineStr">
        <is>
          <t>Other current asset</t>
        </is>
      </c>
      <c r="C218" s="351" t="n"/>
      <c r="D218" s="351" t="n"/>
      <c r="E218" s="351" t="n"/>
      <c r="F218" s="351" t="n"/>
      <c r="G218" s="351" t="n"/>
      <c r="H218" s="331" t="n"/>
    </row>
    <row r="219">
      <c r="B219" s="134" t="inlineStr">
        <is>
          <t>Particulars</t>
        </is>
      </c>
      <c r="C219" s="333">
        <f>C6</f>
        <v/>
      </c>
      <c r="D219" s="333">
        <f>D6</f>
        <v/>
      </c>
      <c r="E219" s="333">
        <f>E6</f>
        <v/>
      </c>
      <c r="F219" s="333">
        <f>F6</f>
        <v/>
      </c>
      <c r="G219" s="333">
        <f>G6</f>
        <v/>
      </c>
      <c r="H219" s="331" t="n"/>
    </row>
    <row r="220">
      <c r="B220" s="67" t="inlineStr">
        <is>
          <t>Prepaid exp.</t>
        </is>
      </c>
      <c r="C220" s="338" t="n"/>
      <c r="D220" s="338" t="n"/>
      <c r="E220" s="338" t="n"/>
      <c r="F220" s="338" t="n"/>
      <c r="G220" s="338" t="n"/>
    </row>
    <row r="221">
      <c r="B221" s="67" t="inlineStr">
        <is>
          <t>Focus in hand</t>
        </is>
      </c>
      <c r="C221" s="338" t="n"/>
      <c r="D221" s="338" t="n"/>
      <c r="E221" s="338" t="n"/>
      <c r="F221" s="338" t="n"/>
      <c r="G221" s="338" t="n"/>
    </row>
    <row r="222" hidden="1">
      <c r="C222" s="338" t="n"/>
      <c r="D222" s="338" t="n"/>
      <c r="E222" s="338" t="n"/>
      <c r="F222" s="338" t="n"/>
      <c r="G222" s="338" t="n"/>
    </row>
    <row r="223" hidden="1">
      <c r="C223" s="338" t="n"/>
      <c r="D223" s="338" t="n"/>
      <c r="E223" s="338" t="n"/>
      <c r="F223" s="338" t="n"/>
      <c r="G223" s="338" t="n"/>
    </row>
    <row r="224" hidden="1">
      <c r="C224" s="338" t="n"/>
      <c r="D224" s="338" t="n"/>
      <c r="E224" s="338" t="n"/>
      <c r="F224" s="338" t="n"/>
      <c r="G224" s="338" t="n"/>
    </row>
    <row r="225" hidden="1">
      <c r="C225" s="338" t="n"/>
      <c r="D225" s="338" t="n"/>
      <c r="E225" s="338" t="n"/>
      <c r="F225" s="338" t="n"/>
      <c r="G225" s="338" t="n"/>
    </row>
    <row r="226" hidden="1">
      <c r="C226" s="338" t="n"/>
      <c r="D226" s="338" t="n"/>
      <c r="E226" s="338" t="n"/>
      <c r="F226" s="338" t="n"/>
      <c r="G226" s="338" t="n"/>
    </row>
    <row r="227" hidden="1">
      <c r="C227" s="338" t="n"/>
      <c r="D227" s="338" t="n"/>
      <c r="E227" s="338" t="n"/>
      <c r="F227" s="338" t="n"/>
      <c r="G227" s="338" t="n"/>
    </row>
    <row r="228" hidden="1">
      <c r="C228" s="338" t="n"/>
      <c r="D228" s="338" t="n"/>
      <c r="E228" s="338" t="n"/>
      <c r="F228" s="338" t="n"/>
      <c r="G228" s="338" t="n"/>
    </row>
    <row r="229" hidden="1">
      <c r="C229" s="338" t="n"/>
      <c r="D229" s="338" t="n"/>
      <c r="E229" s="338" t="n"/>
      <c r="F229" s="338" t="n"/>
      <c r="G229" s="338" t="n"/>
    </row>
    <row r="230" hidden="1">
      <c r="C230" s="338" t="n"/>
      <c r="D230" s="338" t="n"/>
      <c r="E230" s="338" t="n"/>
      <c r="F230" s="338" t="n"/>
      <c r="G230" s="338" t="n"/>
    </row>
    <row r="231" hidden="1">
      <c r="C231" s="338" t="n"/>
      <c r="D231" s="338" t="n"/>
      <c r="E231" s="338" t="n"/>
      <c r="F231" s="338" t="n"/>
      <c r="G231" s="338" t="n"/>
    </row>
    <row r="232">
      <c r="B232" s="67" t="inlineStr">
        <is>
          <t xml:space="preserve">Interest accrued </t>
        </is>
      </c>
      <c r="C232" s="338" t="n"/>
      <c r="D232" s="338" t="n"/>
      <c r="E232" s="338" t="n"/>
      <c r="F232" s="338" t="n"/>
      <c r="G232" s="338" t="n"/>
      <c r="H232" s="334" t="n"/>
    </row>
    <row r="233" ht="16.5" customHeight="1" thickBot="1">
      <c r="B233" s="137" t="inlineStr">
        <is>
          <t>Total</t>
        </is>
      </c>
      <c r="C233" s="355">
        <f>SUM(C220:C232)</f>
        <v/>
      </c>
      <c r="D233" s="355">
        <f>SUM(D220:D232)</f>
        <v/>
      </c>
      <c r="E233" s="355">
        <f>SUM(E220:E232)</f>
        <v/>
      </c>
      <c r="F233" s="355">
        <f>SUM(F220:F232)</f>
        <v/>
      </c>
      <c r="G233" s="355">
        <f>SUM(G220:G232)</f>
        <v/>
      </c>
      <c r="H233" s="348" t="n"/>
    </row>
    <row r="234">
      <c r="B234" s="166" t="n"/>
      <c r="C234" s="331" t="n"/>
      <c r="D234" s="331" t="n"/>
      <c r="E234" s="331" t="n"/>
      <c r="F234" s="331" t="n"/>
      <c r="G234" s="331" t="n"/>
      <c r="H234" s="345" t="n"/>
    </row>
    <row r="235">
      <c r="B235" s="124" t="inlineStr">
        <is>
          <t>Revenue from operations</t>
        </is>
      </c>
      <c r="C235" s="343" t="n"/>
      <c r="D235" s="343" t="n"/>
      <c r="E235" s="343" t="n"/>
      <c r="F235" s="343" t="n"/>
      <c r="G235" s="343" t="n"/>
    </row>
    <row r="236">
      <c r="B236" s="134" t="inlineStr">
        <is>
          <t>Particulars</t>
        </is>
      </c>
      <c r="C236" s="333">
        <f>C6</f>
        <v/>
      </c>
      <c r="D236" s="333">
        <f>D6</f>
        <v/>
      </c>
      <c r="E236" s="333">
        <f>E6</f>
        <v/>
      </c>
      <c r="F236" s="333">
        <f>F6</f>
        <v/>
      </c>
      <c r="G236" s="333">
        <f>G6</f>
        <v/>
      </c>
    </row>
    <row r="237">
      <c r="B237" s="121" t="inlineStr">
        <is>
          <t>Sale of goods</t>
        </is>
      </c>
      <c r="C237" s="349" t="n"/>
      <c r="D237" s="349" t="n"/>
      <c r="E237" s="349" t="n"/>
      <c r="F237" s="349" t="n"/>
      <c r="G237" s="349" t="n"/>
    </row>
    <row r="238">
      <c r="B238" s="121" t="inlineStr">
        <is>
          <t>Other operating income</t>
        </is>
      </c>
      <c r="C238" s="349" t="n"/>
      <c r="D238" s="349" t="n"/>
      <c r="E238" s="349" t="n"/>
      <c r="F238" s="349" t="n"/>
      <c r="G238" s="349" t="n"/>
    </row>
    <row r="239" hidden="1">
      <c r="B239" s="121" t="n"/>
      <c r="C239" s="349" t="n"/>
      <c r="D239" s="349" t="n"/>
      <c r="E239" s="349" t="n"/>
      <c r="F239" s="349" t="n"/>
      <c r="G239" s="349" t="n"/>
    </row>
    <row r="240" hidden="1">
      <c r="B240" s="121" t="n"/>
      <c r="C240" s="349" t="n"/>
      <c r="D240" s="349" t="n"/>
      <c r="E240" s="349" t="n"/>
      <c r="F240" s="349" t="n"/>
      <c r="G240" s="349" t="n"/>
    </row>
    <row r="241" hidden="1">
      <c r="B241" s="121" t="n"/>
      <c r="C241" s="349" t="n"/>
      <c r="D241" s="349" t="n"/>
      <c r="E241" s="349" t="n"/>
      <c r="F241" s="349" t="n"/>
      <c r="G241" s="349" t="n"/>
    </row>
    <row r="242" hidden="1">
      <c r="B242" s="121" t="n"/>
      <c r="C242" s="349" t="n"/>
      <c r="D242" s="349" t="n"/>
      <c r="E242" s="349" t="n"/>
      <c r="F242" s="349" t="n"/>
      <c r="G242" s="349" t="n"/>
    </row>
    <row r="243" hidden="1">
      <c r="B243" s="121" t="n"/>
      <c r="C243" s="349" t="n"/>
      <c r="D243" s="349" t="n"/>
      <c r="E243" s="349" t="n"/>
      <c r="F243" s="349" t="n"/>
      <c r="G243" s="349" t="n"/>
    </row>
    <row r="244">
      <c r="B244" s="121" t="inlineStr">
        <is>
          <t>Sale of services</t>
        </is>
      </c>
      <c r="C244" s="330" t="n"/>
      <c r="D244" s="330" t="n"/>
      <c r="E244" s="330" t="n"/>
      <c r="F244" s="330" t="n"/>
      <c r="G244" s="330" t="n"/>
      <c r="H244" s="334" t="n"/>
    </row>
    <row r="245">
      <c r="B245" s="126" t="inlineStr">
        <is>
          <t>Total</t>
        </is>
      </c>
      <c r="C245" s="344">
        <f>SUM(C237:C244)</f>
        <v/>
      </c>
      <c r="D245" s="344">
        <f>SUM(D237:D244)</f>
        <v/>
      </c>
      <c r="E245" s="344">
        <f>SUM(E237:E244)</f>
        <v/>
      </c>
      <c r="F245" s="344">
        <f>SUM(F237:F244)</f>
        <v/>
      </c>
      <c r="G245" s="344">
        <f>SUM(G237:G244)</f>
        <v/>
      </c>
      <c r="H245" s="348" t="n"/>
    </row>
    <row r="246">
      <c r="B246" s="68" t="inlineStr"/>
      <c r="C246" s="329" t="n"/>
      <c r="D246" s="329" t="n"/>
      <c r="E246" s="329" t="n"/>
      <c r="F246" s="329" t="n"/>
      <c r="G246" s="329" t="n"/>
      <c r="H246" s="348" t="n"/>
    </row>
    <row r="247">
      <c r="B247" s="133" t="inlineStr">
        <is>
          <t>Other income</t>
        </is>
      </c>
      <c r="C247" s="351" t="n"/>
      <c r="D247" s="351" t="n"/>
      <c r="E247" s="351" t="n"/>
      <c r="F247" s="351" t="n"/>
      <c r="G247" s="351" t="n"/>
      <c r="H247" s="348" t="n"/>
    </row>
    <row r="248">
      <c r="B248" s="166" t="inlineStr">
        <is>
          <t>Particulars</t>
        </is>
      </c>
      <c r="C248" s="333">
        <f>C6</f>
        <v/>
      </c>
      <c r="D248" s="333">
        <f>D6</f>
        <v/>
      </c>
      <c r="E248" s="333">
        <f>E6</f>
        <v/>
      </c>
      <c r="F248" s="333">
        <f>F6</f>
        <v/>
      </c>
      <c r="G248" s="333">
        <f>G6</f>
        <v/>
      </c>
      <c r="H248" s="345" t="n"/>
    </row>
    <row r="249">
      <c r="B249" s="132" t="inlineStr">
        <is>
          <t>Interest on IT refund</t>
        </is>
      </c>
      <c r="C249" s="348" t="n"/>
      <c r="D249" s="348" t="n"/>
      <c r="E249" s="348" t="n"/>
      <c r="F249" s="348" t="n"/>
      <c r="G249" s="348" t="n"/>
    </row>
    <row r="250">
      <c r="B250" s="121" t="inlineStr">
        <is>
          <t>Interest on Loan</t>
        </is>
      </c>
      <c r="C250" s="348" t="n"/>
      <c r="D250" s="348" t="n"/>
      <c r="E250" s="348" t="n"/>
      <c r="F250" s="348" t="n"/>
      <c r="G250" s="348" t="n"/>
    </row>
    <row r="251">
      <c r="B251" s="121" t="inlineStr">
        <is>
          <t>Miscellaneous Income</t>
        </is>
      </c>
      <c r="H251" s="334" t="n"/>
    </row>
    <row r="252" hidden="1">
      <c r="B252" s="132" t="n"/>
      <c r="C252" s="348" t="n"/>
      <c r="D252" s="348" t="n"/>
      <c r="E252" s="348" t="n"/>
      <c r="F252" s="348" t="n"/>
      <c r="G252" s="348" t="n"/>
    </row>
    <row r="253" hidden="1">
      <c r="B253" s="132" t="n"/>
      <c r="C253" s="348" t="n"/>
      <c r="D253" s="348" t="n"/>
      <c r="E253" s="348" t="n"/>
      <c r="F253" s="348" t="n"/>
      <c r="G253" s="348" t="n"/>
    </row>
    <row r="254" hidden="1">
      <c r="B254" s="132" t="n"/>
      <c r="C254" s="348" t="n"/>
      <c r="D254" s="348" t="n"/>
      <c r="E254" s="348" t="n"/>
      <c r="F254" s="348" t="n"/>
      <c r="G254" s="348" t="n"/>
    </row>
    <row r="255" hidden="1">
      <c r="B255" s="132" t="n"/>
      <c r="C255" s="348" t="n"/>
      <c r="D255" s="348" t="n"/>
      <c r="E255" s="348" t="n"/>
      <c r="F255" s="348" t="n"/>
      <c r="G255" s="348" t="n"/>
    </row>
    <row r="256" hidden="1">
      <c r="B256" s="132" t="n"/>
      <c r="C256" s="348" t="n"/>
      <c r="D256" s="348" t="n"/>
      <c r="E256" s="348" t="n"/>
      <c r="F256" s="348" t="n"/>
      <c r="G256" s="348" t="n"/>
    </row>
    <row r="257" hidden="1">
      <c r="B257" s="132" t="n"/>
      <c r="C257" s="348" t="n"/>
      <c r="D257" s="348" t="n"/>
      <c r="E257" s="348" t="n"/>
      <c r="F257" s="348" t="n"/>
      <c r="G257" s="348" t="n"/>
    </row>
    <row r="258" hidden="1">
      <c r="B258" s="132" t="n"/>
      <c r="C258" s="348" t="n"/>
      <c r="D258" s="348" t="n"/>
      <c r="E258" s="348" t="n"/>
      <c r="F258" s="348" t="n"/>
      <c r="G258" s="348" t="n"/>
    </row>
    <row r="259" hidden="1">
      <c r="B259" s="132" t="n"/>
      <c r="C259" s="348" t="n"/>
      <c r="D259" s="348" t="n"/>
      <c r="E259" s="348" t="n"/>
      <c r="F259" s="348" t="n"/>
      <c r="G259" s="348" t="n"/>
    </row>
    <row r="260" hidden="1">
      <c r="B260" s="132" t="n"/>
      <c r="C260" s="348" t="n"/>
      <c r="D260" s="348" t="n"/>
      <c r="E260" s="348" t="n"/>
      <c r="F260" s="348" t="n"/>
      <c r="G260" s="348" t="n"/>
    </row>
    <row r="261" hidden="1">
      <c r="B261" s="132" t="n"/>
      <c r="C261" s="348" t="n"/>
      <c r="D261" s="348" t="n"/>
      <c r="E261" s="348" t="n"/>
      <c r="F261" s="348" t="n"/>
      <c r="G261" s="348" t="n"/>
    </row>
    <row r="262">
      <c r="B262" s="67" t="inlineStr">
        <is>
          <t>Interest on FD</t>
        </is>
      </c>
      <c r="C262" s="349" t="n"/>
      <c r="D262" s="349" t="n"/>
      <c r="E262" s="349" t="n"/>
      <c r="F262" s="349" t="n"/>
      <c r="G262" s="349" t="n"/>
    </row>
    <row r="263">
      <c r="B263" s="126" t="inlineStr">
        <is>
          <t>Total</t>
        </is>
      </c>
      <c r="C263" s="344">
        <f>SUM(C249:C262)</f>
        <v/>
      </c>
      <c r="D263" s="344">
        <f>SUM(D249:D262)</f>
        <v/>
      </c>
      <c r="E263" s="344">
        <f>SUM(E249:E262)</f>
        <v/>
      </c>
      <c r="F263" s="344">
        <f>SUM(F249:F262)</f>
        <v/>
      </c>
      <c r="G263" s="344">
        <f>SUM(G249:G262)</f>
        <v/>
      </c>
    </row>
    <row r="264">
      <c r="B264" s="116" t="inlineStr">
        <is>
          <t>Cost of goods sold</t>
        </is>
      </c>
      <c r="C264" s="332" t="n"/>
      <c r="D264" s="332" t="n"/>
      <c r="E264" s="332" t="n"/>
      <c r="F264" s="332" t="n"/>
      <c r="G264" s="332" t="n"/>
    </row>
    <row r="265">
      <c r="B265" s="134" t="inlineStr">
        <is>
          <t>Particulars</t>
        </is>
      </c>
      <c r="C265" s="333">
        <f>C6</f>
        <v/>
      </c>
      <c r="D265" s="333">
        <f>D6</f>
        <v/>
      </c>
      <c r="E265" s="333">
        <f>E6</f>
        <v/>
      </c>
      <c r="F265" s="333">
        <f>F6</f>
        <v/>
      </c>
      <c r="G265" s="333">
        <f>G6</f>
        <v/>
      </c>
      <c r="H265" s="342" t="n"/>
    </row>
    <row r="266">
      <c r="B266" s="68" t="inlineStr">
        <is>
          <t>Purchase of traded goods</t>
        </is>
      </c>
      <c r="C266" s="356" t="n"/>
      <c r="D266" s="356" t="n"/>
      <c r="E266" s="356" t="n"/>
      <c r="F266" s="356" t="n"/>
      <c r="G266" s="356" t="n"/>
      <c r="H266" s="342" t="n"/>
    </row>
    <row r="267">
      <c r="B267" s="68" t="inlineStr">
        <is>
          <t>Cost of materials consumed</t>
        </is>
      </c>
      <c r="C267" s="356" t="n"/>
      <c r="D267" s="356" t="n"/>
      <c r="E267" s="356" t="n"/>
      <c r="F267" s="356" t="n"/>
      <c r="G267" s="356" t="n"/>
      <c r="H267" s="342" t="n"/>
    </row>
    <row r="268">
      <c r="B268" s="68" t="inlineStr">
        <is>
          <t>Change in inventories</t>
        </is>
      </c>
      <c r="C268" s="356">
        <f>C269-C270</f>
        <v/>
      </c>
      <c r="D268" s="356">
        <f>D269-D270</f>
        <v/>
      </c>
      <c r="E268" s="356">
        <f>E269-E270</f>
        <v/>
      </c>
      <c r="F268" s="356">
        <f>F269-F270</f>
        <v/>
      </c>
      <c r="G268" s="356">
        <f>G269-G270</f>
        <v/>
      </c>
    </row>
    <row r="269">
      <c r="B269" s="138" t="inlineStr">
        <is>
          <t>Opening stock</t>
        </is>
      </c>
      <c r="C269" s="356" t="n"/>
      <c r="D269" s="356" t="n"/>
      <c r="E269" s="356" t="n"/>
      <c r="F269" s="356" t="n"/>
      <c r="G269" s="356" t="n"/>
      <c r="H269" s="334" t="n"/>
    </row>
    <row r="270">
      <c r="B270" s="138" t="inlineStr">
        <is>
          <t>Closing stock</t>
        </is>
      </c>
      <c r="H270" s="348" t="n"/>
    </row>
    <row r="271">
      <c r="B271" s="126" t="inlineStr">
        <is>
          <t>Total</t>
        </is>
      </c>
      <c r="C271" s="341">
        <f>SUM(C266:C267)+C268</f>
        <v/>
      </c>
      <c r="D271" s="341">
        <f>SUM(D266:D267)+D268</f>
        <v/>
      </c>
      <c r="E271" s="341">
        <f>SUM(E266:E267)+E268</f>
        <v/>
      </c>
      <c r="F271" s="341">
        <f>SUM(F266:F267)+F268</f>
        <v/>
      </c>
      <c r="G271" s="341">
        <f>SUM(G266:G267)+G268</f>
        <v/>
      </c>
      <c r="H271" s="348" t="n"/>
    </row>
    <row r="272">
      <c r="B272" s="67" t="n"/>
      <c r="C272" s="329" t="n"/>
      <c r="D272" s="329" t="n"/>
      <c r="E272" s="329" t="n"/>
      <c r="F272" s="329" t="n"/>
      <c r="G272" s="329" t="n"/>
    </row>
    <row r="273">
      <c r="B273" s="116" t="inlineStr">
        <is>
          <t>Employee benefit expenses</t>
        </is>
      </c>
      <c r="C273" s="332" t="n"/>
      <c r="D273" s="332" t="n"/>
      <c r="E273" s="332" t="n"/>
      <c r="F273" s="332" t="n"/>
      <c r="G273" s="332" t="n"/>
      <c r="H273" s="348" t="n"/>
    </row>
    <row r="274">
      <c r="B274" s="134" t="inlineStr">
        <is>
          <t>Particulars</t>
        </is>
      </c>
      <c r="C274" s="333">
        <f>C6</f>
        <v/>
      </c>
      <c r="D274" s="333">
        <f>D6</f>
        <v/>
      </c>
      <c r="E274" s="333">
        <f>E6</f>
        <v/>
      </c>
      <c r="F274" s="333">
        <f>F6</f>
        <v/>
      </c>
      <c r="G274" s="333">
        <f>G6</f>
        <v/>
      </c>
      <c r="H274" s="348" t="n"/>
    </row>
    <row r="275">
      <c r="B275" s="121" t="inlineStr">
        <is>
          <t>Directors remuneration</t>
        </is>
      </c>
      <c r="C275" s="348" t="n"/>
      <c r="D275" s="348" t="n"/>
      <c r="E275" s="348" t="n"/>
      <c r="F275" s="348" t="n"/>
      <c r="G275" s="348" t="n"/>
      <c r="H275" s="348" t="n"/>
    </row>
    <row r="276">
      <c r="B276" s="121" t="inlineStr">
        <is>
          <t>Salaries and wages</t>
        </is>
      </c>
      <c r="H276" s="348" t="n"/>
    </row>
    <row r="277">
      <c r="B277" s="148" t="inlineStr">
        <is>
          <t xml:space="preserve">Contribution to - </t>
        </is>
      </c>
      <c r="H277" s="348" t="n"/>
    </row>
    <row r="278">
      <c r="B278" s="122" t="inlineStr">
        <is>
          <t>Co's contribution to PF</t>
        </is>
      </c>
      <c r="C278" s="348" t="n"/>
      <c r="D278" s="348" t="n"/>
      <c r="E278" s="348" t="n"/>
      <c r="F278" s="348" t="n"/>
      <c r="G278" s="348" t="n"/>
      <c r="H278" s="348" t="n"/>
    </row>
    <row r="279">
      <c r="B279" s="122" t="inlineStr">
        <is>
          <t>Co's contribution to ESIC</t>
        </is>
      </c>
      <c r="C279" s="348" t="n"/>
      <c r="D279" s="348" t="n"/>
      <c r="E279" s="348" t="n"/>
      <c r="F279" s="348" t="n"/>
      <c r="G279" s="348" t="n"/>
      <c r="H279" s="357" t="n"/>
    </row>
    <row r="280">
      <c r="B280" s="122" t="inlineStr">
        <is>
          <t>Co's contribution to other funds</t>
        </is>
      </c>
      <c r="C280" s="348" t="n"/>
      <c r="D280" s="348" t="n"/>
      <c r="E280" s="348" t="n"/>
      <c r="F280" s="348" t="n"/>
      <c r="G280" s="348" t="n"/>
      <c r="H280" s="357" t="n"/>
    </row>
    <row r="281">
      <c r="B281" s="122" t="inlineStr">
        <is>
          <t>Health/ Life insurance</t>
        </is>
      </c>
      <c r="C281" s="348" t="n"/>
      <c r="D281" s="348" t="n"/>
      <c r="E281" s="348" t="n"/>
      <c r="F281" s="348" t="n"/>
      <c r="G281" s="348" t="n"/>
      <c r="H281" s="357" t="n"/>
    </row>
    <row r="282">
      <c r="B282" s="148" t="inlineStr">
        <is>
          <t>Other expenses</t>
        </is>
      </c>
      <c r="C282" s="348" t="n"/>
      <c r="D282" s="348" t="n"/>
      <c r="E282" s="348" t="n"/>
      <c r="F282" s="348" t="n"/>
      <c r="G282" s="348" t="n"/>
      <c r="H282" s="357" t="n"/>
    </row>
    <row r="283">
      <c r="B283" s="122" t="inlineStr">
        <is>
          <t>Workers and staff welfare</t>
        </is>
      </c>
      <c r="C283" s="348" t="n"/>
      <c r="D283" s="348" t="n"/>
      <c r="E283" s="348" t="n"/>
      <c r="F283" s="348" t="n"/>
      <c r="G283" s="348" t="n"/>
      <c r="H283" s="345" t="n"/>
    </row>
    <row r="284">
      <c r="B284" s="122" t="inlineStr">
        <is>
          <t>Bonus paid</t>
        </is>
      </c>
      <c r="C284" s="348" t="n"/>
      <c r="D284" s="348" t="n"/>
      <c r="E284" s="348" t="n"/>
      <c r="F284" s="348" t="n"/>
      <c r="G284" s="348" t="n"/>
    </row>
    <row r="285">
      <c r="B285" s="122" t="inlineStr">
        <is>
          <t>Gratuity paid</t>
        </is>
      </c>
      <c r="C285" s="348" t="n"/>
      <c r="D285" s="348" t="n"/>
      <c r="E285" s="348" t="n"/>
      <c r="F285" s="348" t="n"/>
      <c r="G285" s="348" t="n"/>
    </row>
    <row r="286">
      <c r="B286" s="122" t="inlineStr">
        <is>
          <t>Gratuity provision</t>
        </is>
      </c>
      <c r="C286" s="348" t="n"/>
      <c r="D286" s="348" t="n"/>
      <c r="E286" s="348" t="n"/>
      <c r="F286" s="348" t="n"/>
      <c r="G286" s="348" t="n"/>
      <c r="H286" s="334" t="n"/>
    </row>
    <row r="287" hidden="1">
      <c r="B287" s="121" t="n"/>
      <c r="C287" s="348" t="n"/>
      <c r="D287" s="348" t="n"/>
      <c r="E287" s="348" t="n"/>
      <c r="F287" s="348" t="n"/>
      <c r="G287" s="348" t="n"/>
      <c r="H287" s="348" t="n"/>
    </row>
    <row r="288" hidden="1">
      <c r="B288" s="121" t="n"/>
      <c r="C288" s="348" t="n"/>
      <c r="D288" s="348" t="n"/>
      <c r="E288" s="348" t="n"/>
      <c r="F288" s="348" t="n"/>
      <c r="G288" s="348" t="n"/>
      <c r="H288" s="348" t="n"/>
    </row>
    <row r="289" hidden="1">
      <c r="B289" s="121" t="n"/>
      <c r="C289" s="348" t="n"/>
      <c r="D289" s="348" t="n"/>
      <c r="E289" s="348" t="n"/>
      <c r="F289" s="348" t="n"/>
      <c r="G289" s="348" t="n"/>
      <c r="H289" s="348" t="n"/>
    </row>
    <row r="290" hidden="1">
      <c r="B290" s="121" t="n"/>
      <c r="C290" s="348" t="n"/>
      <c r="D290" s="348" t="n"/>
      <c r="E290" s="348" t="n"/>
      <c r="F290" s="348" t="n"/>
      <c r="G290" s="348" t="n"/>
      <c r="H290" s="348" t="n"/>
    </row>
    <row r="291" hidden="1">
      <c r="B291" s="121" t="n"/>
      <c r="C291" s="348" t="n"/>
      <c r="D291" s="348" t="n"/>
      <c r="E291" s="348" t="n"/>
      <c r="F291" s="348" t="n"/>
      <c r="G291" s="348" t="n"/>
      <c r="H291" s="348" t="n"/>
    </row>
    <row r="292" hidden="1">
      <c r="B292" s="121" t="n"/>
      <c r="C292" s="348" t="n"/>
      <c r="D292" s="348" t="n"/>
      <c r="E292" s="348" t="n"/>
      <c r="F292" s="348" t="n"/>
      <c r="G292" s="348" t="n"/>
      <c r="H292" s="348" t="n"/>
    </row>
    <row r="293" hidden="1">
      <c r="B293" s="121" t="n"/>
      <c r="C293" s="348" t="n"/>
      <c r="D293" s="348" t="n"/>
      <c r="E293" s="348" t="n"/>
      <c r="F293" s="348" t="n"/>
      <c r="G293" s="348" t="n"/>
      <c r="H293" s="348" t="n"/>
    </row>
    <row r="294" hidden="1">
      <c r="B294" s="121" t="n"/>
      <c r="C294" s="348" t="n"/>
      <c r="D294" s="348" t="n"/>
      <c r="E294" s="348" t="n"/>
      <c r="F294" s="348" t="n"/>
      <c r="G294" s="348" t="n"/>
      <c r="H294" s="348" t="n"/>
    </row>
    <row r="295">
      <c r="B295" s="122" t="inlineStr">
        <is>
          <t>Leave salary</t>
        </is>
      </c>
      <c r="C295" s="348" t="n"/>
      <c r="D295" s="348" t="n"/>
      <c r="E295" s="348" t="n"/>
      <c r="F295" s="348" t="n"/>
      <c r="G295" s="348" t="n"/>
      <c r="AK295" s="358" t="n"/>
      <c r="AL295" s="358" t="n"/>
      <c r="AM295" s="358" t="n"/>
      <c r="AN295" s="358" t="n"/>
      <c r="AO295" s="358" t="n"/>
      <c r="AP295" s="358" t="n"/>
      <c r="AQ295" s="358" t="n"/>
    </row>
    <row r="296">
      <c r="B296" s="126" t="inlineStr">
        <is>
          <t>Total</t>
        </is>
      </c>
      <c r="C296" s="344">
        <f>SUM(C275:C295)</f>
        <v/>
      </c>
      <c r="D296" s="344">
        <f>SUM(D275:D295)</f>
        <v/>
      </c>
      <c r="E296" s="344">
        <f>SUM(E275:E295)</f>
        <v/>
      </c>
      <c r="F296" s="344">
        <f>SUM(F275:F295)</f>
        <v/>
      </c>
      <c r="G296" s="344">
        <f>SUM(G275:G295)</f>
        <v/>
      </c>
      <c r="H296" s="345" t="n"/>
    </row>
    <row r="297">
      <c r="B297" s="66" t="n"/>
      <c r="C297" s="359" t="n"/>
      <c r="D297" s="359" t="n"/>
      <c r="E297" s="359" t="n"/>
      <c r="F297" s="359" t="n"/>
      <c r="G297" s="359" t="n"/>
    </row>
    <row r="298">
      <c r="B298" s="124" t="inlineStr">
        <is>
          <t>Depreciation and amortization</t>
        </is>
      </c>
      <c r="C298" s="343" t="n"/>
      <c r="D298" s="343" t="n"/>
      <c r="E298" s="343" t="n"/>
      <c r="F298" s="343" t="n"/>
      <c r="G298" s="343" t="n"/>
    </row>
    <row r="299">
      <c r="B299" s="134" t="inlineStr">
        <is>
          <t>Particulars</t>
        </is>
      </c>
      <c r="C299" s="333">
        <f>C6</f>
        <v/>
      </c>
      <c r="D299" s="333">
        <f>D6</f>
        <v/>
      </c>
      <c r="E299" s="333">
        <f>E6</f>
        <v/>
      </c>
      <c r="F299" s="333">
        <f>F6</f>
        <v/>
      </c>
      <c r="G299" s="333">
        <f>G6</f>
        <v/>
      </c>
    </row>
    <row r="300">
      <c r="B300" s="330" t="inlineStr">
        <is>
          <t>Depreciation</t>
        </is>
      </c>
      <c r="C300" s="334" t="n"/>
      <c r="D300" s="334" t="n"/>
      <c r="E300" s="334" t="n"/>
      <c r="F300" s="334" t="n"/>
      <c r="G300" s="334" t="n"/>
    </row>
    <row r="301" hidden="1">
      <c r="B301" s="330" t="n"/>
      <c r="C301" s="334" t="n"/>
      <c r="D301" s="334" t="n"/>
      <c r="E301" s="334" t="n"/>
      <c r="F301" s="334" t="n"/>
      <c r="G301" s="334" t="n"/>
    </row>
    <row r="302" hidden="1">
      <c r="B302" s="330" t="n"/>
      <c r="C302" s="334" t="n"/>
      <c r="D302" s="334" t="n"/>
      <c r="E302" s="334" t="n"/>
      <c r="F302" s="334" t="n"/>
      <c r="G302" s="334" t="n"/>
    </row>
    <row r="303" hidden="1">
      <c r="B303" s="330" t="n"/>
      <c r="C303" s="334" t="n"/>
      <c r="D303" s="334" t="n"/>
      <c r="E303" s="334" t="n"/>
      <c r="F303" s="334" t="n"/>
      <c r="G303" s="334" t="n"/>
    </row>
    <row r="304">
      <c r="B304" s="330" t="inlineStr">
        <is>
          <t>Amortisation</t>
        </is>
      </c>
      <c r="C304" s="357" t="n"/>
      <c r="D304" s="357" t="n"/>
      <c r="E304" s="357" t="n"/>
      <c r="F304" s="357" t="n"/>
      <c r="G304" s="357" t="n"/>
    </row>
    <row r="305">
      <c r="B305" s="126" t="inlineStr">
        <is>
          <t>Total</t>
        </is>
      </c>
      <c r="C305" s="344">
        <f>SUM(C300:C304)</f>
        <v/>
      </c>
      <c r="D305" s="344">
        <f>SUM(D300:D304)</f>
        <v/>
      </c>
      <c r="E305" s="344">
        <f>SUM(E300:E304)</f>
        <v/>
      </c>
      <c r="F305" s="344">
        <f>SUM(F300:F304)</f>
        <v/>
      </c>
      <c r="G305" s="344">
        <f>SUM(G300:G304)</f>
        <v/>
      </c>
    </row>
    <row r="306">
      <c r="B306" s="66" t="n"/>
      <c r="C306" s="359" t="n"/>
      <c r="D306" s="359" t="n"/>
      <c r="E306" s="359" t="n"/>
      <c r="F306" s="359" t="n"/>
      <c r="G306" s="359" t="n"/>
    </row>
    <row r="307">
      <c r="B307" s="124" t="inlineStr">
        <is>
          <t>Finance cost</t>
        </is>
      </c>
      <c r="C307" s="343" t="n"/>
      <c r="D307" s="343" t="n"/>
      <c r="E307" s="343" t="n"/>
      <c r="F307" s="343" t="n"/>
      <c r="G307" s="343" t="n"/>
    </row>
    <row r="308">
      <c r="B308" s="134" t="inlineStr">
        <is>
          <t>Particulars</t>
        </is>
      </c>
      <c r="C308" s="333">
        <f>C6</f>
        <v/>
      </c>
      <c r="D308" s="333">
        <f>D6</f>
        <v/>
      </c>
      <c r="E308" s="333">
        <f>E6</f>
        <v/>
      </c>
      <c r="F308" s="333">
        <f>F6</f>
        <v/>
      </c>
      <c r="G308" s="333">
        <f>G6</f>
        <v/>
      </c>
    </row>
    <row r="309">
      <c r="B309" s="140" t="inlineStr">
        <is>
          <t>Interest expenses</t>
        </is>
      </c>
      <c r="C309" s="357" t="n"/>
      <c r="D309" s="357" t="n"/>
      <c r="E309" s="357" t="n"/>
      <c r="F309" s="357" t="n"/>
      <c r="G309" s="357" t="n"/>
    </row>
    <row r="310">
      <c r="B310" s="138" t="inlineStr">
        <is>
          <t>To bank</t>
        </is>
      </c>
      <c r="C310" s="357" t="n"/>
      <c r="D310" s="357" t="n"/>
      <c r="E310" s="357" t="n"/>
      <c r="F310" s="357" t="n"/>
      <c r="G310" s="357" t="n"/>
    </row>
    <row r="311">
      <c r="B311" s="138" t="inlineStr">
        <is>
          <t>To unsecured loans</t>
        </is>
      </c>
      <c r="C311" s="357" t="n"/>
      <c r="D311" s="357" t="n"/>
      <c r="E311" s="357" t="n"/>
      <c r="F311" s="357" t="n"/>
      <c r="G311" s="357" t="n"/>
      <c r="H311" s="334" t="n"/>
    </row>
    <row r="312" hidden="1">
      <c r="B312" s="138" t="n"/>
      <c r="C312" s="357" t="n"/>
      <c r="D312" s="357" t="n"/>
      <c r="E312" s="357" t="n"/>
      <c r="F312" s="357" t="n"/>
      <c r="G312" s="357" t="n"/>
    </row>
    <row r="313" hidden="1">
      <c r="B313" s="138" t="n"/>
      <c r="C313" s="357" t="n"/>
      <c r="D313" s="357" t="n"/>
      <c r="E313" s="357" t="n"/>
      <c r="F313" s="357" t="n"/>
      <c r="G313" s="357" t="n"/>
    </row>
    <row r="314" hidden="1">
      <c r="B314" s="138" t="n"/>
      <c r="C314" s="357" t="n"/>
      <c r="D314" s="357" t="n"/>
      <c r="E314" s="357" t="n"/>
      <c r="F314" s="357" t="n"/>
      <c r="G314" s="357" t="n"/>
    </row>
    <row r="315" hidden="1">
      <c r="B315" s="138" t="n"/>
      <c r="C315" s="357" t="n"/>
      <c r="D315" s="357" t="n"/>
      <c r="E315" s="357" t="n"/>
      <c r="F315" s="357" t="n"/>
      <c r="G315" s="357" t="n"/>
    </row>
    <row r="316" hidden="1">
      <c r="B316" s="138" t="n"/>
      <c r="C316" s="357" t="n"/>
      <c r="D316" s="357" t="n"/>
      <c r="E316" s="357" t="n"/>
      <c r="F316" s="357" t="n"/>
      <c r="G316" s="357" t="n"/>
    </row>
    <row r="317" hidden="1">
      <c r="B317" s="138" t="n"/>
      <c r="C317" s="357" t="n"/>
      <c r="D317" s="357" t="n"/>
      <c r="E317" s="357" t="n"/>
      <c r="F317" s="357" t="n"/>
      <c r="G317" s="357" t="n"/>
    </row>
    <row r="318" hidden="1">
      <c r="B318" s="138" t="n"/>
      <c r="C318" s="357" t="n"/>
      <c r="D318" s="357" t="n"/>
      <c r="E318" s="357" t="n"/>
      <c r="F318" s="357" t="n"/>
      <c r="G318" s="357" t="n"/>
    </row>
    <row r="319" hidden="1">
      <c r="B319" s="138" t="n"/>
      <c r="C319" s="357" t="n"/>
      <c r="D319" s="357" t="n"/>
      <c r="E319" s="357" t="n"/>
      <c r="F319" s="357" t="n"/>
      <c r="G319" s="357" t="n"/>
    </row>
    <row r="320">
      <c r="B320" s="68" t="inlineStr">
        <is>
          <t>Bank charges</t>
        </is>
      </c>
      <c r="C320" s="357" t="n"/>
      <c r="D320" s="357" t="n"/>
      <c r="E320" s="357" t="n"/>
      <c r="F320" s="357" t="n"/>
      <c r="G320" s="357" t="n"/>
      <c r="H320" s="331" t="n"/>
    </row>
    <row r="321">
      <c r="B321" s="126" t="inlineStr">
        <is>
          <t>Total</t>
        </is>
      </c>
      <c r="C321" s="344">
        <f>SUM(C310:C320)</f>
        <v/>
      </c>
      <c r="D321" s="344">
        <f>SUM(D310:D320)</f>
        <v/>
      </c>
      <c r="E321" s="344">
        <f>SUM(E310:E320)</f>
        <v/>
      </c>
      <c r="F321" s="344">
        <f>SUM(F310:F320)</f>
        <v/>
      </c>
      <c r="G321" s="344">
        <f>SUM(G310:G320)</f>
        <v/>
      </c>
      <c r="H321" s="338" t="n"/>
    </row>
    <row r="322">
      <c r="B322" s="66" t="n"/>
      <c r="C322" s="345" t="n"/>
      <c r="D322" s="345" t="n"/>
      <c r="E322" s="345" t="n"/>
      <c r="F322" s="345" t="n"/>
      <c r="G322" s="345" t="n"/>
      <c r="H322" s="338" t="n"/>
    </row>
    <row r="323">
      <c r="B323" s="124" t="inlineStr">
        <is>
          <t>Tax expense</t>
        </is>
      </c>
      <c r="C323" s="343" t="n"/>
      <c r="D323" s="343" t="n"/>
      <c r="E323" s="343" t="n"/>
      <c r="F323" s="343" t="n"/>
      <c r="G323" s="343" t="n"/>
      <c r="H323" s="338" t="n"/>
    </row>
    <row r="324">
      <c r="B324" s="134" t="inlineStr">
        <is>
          <t>Particulars</t>
        </is>
      </c>
      <c r="C324" s="333">
        <f>C6</f>
        <v/>
      </c>
      <c r="D324" s="333">
        <f>D6</f>
        <v/>
      </c>
      <c r="E324" s="333">
        <f>E6</f>
        <v/>
      </c>
      <c r="F324" s="333">
        <f>F6</f>
        <v/>
      </c>
      <c r="G324" s="333">
        <f>G6</f>
        <v/>
      </c>
      <c r="H324" s="338" t="n"/>
    </row>
    <row r="325">
      <c r="B325" s="140" t="inlineStr">
        <is>
          <t>Current tax</t>
        </is>
      </c>
      <c r="C325" s="357" t="n"/>
      <c r="D325" s="357" t="n"/>
      <c r="E325" s="357" t="n"/>
      <c r="F325" s="357" t="n"/>
      <c r="G325" s="357" t="n"/>
      <c r="H325" s="338" t="n"/>
    </row>
    <row r="326">
      <c r="B326" s="174" t="inlineStr">
        <is>
          <t>Advance tax</t>
        </is>
      </c>
      <c r="C326" s="357" t="n"/>
      <c r="D326" s="357" t="n"/>
      <c r="E326" s="357" t="n"/>
      <c r="F326" s="357" t="n"/>
      <c r="G326" s="357" t="n"/>
      <c r="H326" s="338" t="n"/>
    </row>
    <row r="327">
      <c r="B327" s="174" t="inlineStr">
        <is>
          <t>Deferred tax</t>
        </is>
      </c>
      <c r="C327" s="357" t="n"/>
      <c r="D327" s="357" t="n"/>
      <c r="E327" s="357" t="n"/>
      <c r="F327" s="357" t="n"/>
      <c r="G327" s="357" t="n"/>
      <c r="H327" s="338" t="n"/>
    </row>
    <row r="328" hidden="1">
      <c r="B328" s="140" t="n"/>
      <c r="C328" s="357" t="n"/>
      <c r="D328" s="357" t="n"/>
      <c r="E328" s="357" t="n"/>
      <c r="F328" s="357" t="n"/>
      <c r="G328" s="357" t="n"/>
      <c r="H328" s="338" t="n"/>
    </row>
    <row r="329" hidden="1">
      <c r="B329" s="140" t="n"/>
      <c r="C329" s="357" t="n"/>
      <c r="D329" s="357" t="n"/>
      <c r="E329" s="357" t="n"/>
      <c r="F329" s="357" t="n"/>
      <c r="G329" s="357" t="n"/>
      <c r="H329" s="338" t="n"/>
    </row>
    <row r="330" hidden="1">
      <c r="B330" s="140" t="n"/>
      <c r="C330" s="357" t="n"/>
      <c r="D330" s="357" t="n"/>
      <c r="E330" s="357" t="n"/>
      <c r="F330" s="357" t="n"/>
      <c r="G330" s="357" t="n"/>
      <c r="H330" s="338" t="n"/>
    </row>
    <row r="331" hidden="1">
      <c r="B331" s="140" t="n"/>
      <c r="C331" s="357" t="n"/>
      <c r="D331" s="357" t="n"/>
      <c r="E331" s="357" t="n"/>
      <c r="F331" s="357" t="n"/>
      <c r="G331" s="357" t="n"/>
      <c r="H331" s="338" t="n"/>
    </row>
    <row r="332">
      <c r="B332" s="68" t="inlineStr">
        <is>
          <t>Others</t>
        </is>
      </c>
      <c r="C332" s="357" t="n"/>
      <c r="D332" s="357" t="n"/>
      <c r="E332" s="357" t="n"/>
      <c r="F332" s="357" t="n"/>
      <c r="G332" s="357" t="n"/>
      <c r="H332" s="338" t="n"/>
    </row>
    <row r="333">
      <c r="B333" s="126" t="inlineStr">
        <is>
          <t>Total</t>
        </is>
      </c>
      <c r="C333" s="344">
        <f>SUM(C325:C332)</f>
        <v/>
      </c>
      <c r="D333" s="344">
        <f>SUM(D325:D332)</f>
        <v/>
      </c>
      <c r="E333" s="344">
        <f>SUM(E325:E332)</f>
        <v/>
      </c>
      <c r="F333" s="344">
        <f>SUM(F325:F332)</f>
        <v/>
      </c>
      <c r="G333" s="344">
        <f>SUM(G325:G332)</f>
        <v/>
      </c>
      <c r="H333" s="338" t="n"/>
    </row>
    <row r="334">
      <c r="B334" s="66" t="n"/>
      <c r="C334" s="345" t="n"/>
      <c r="D334" s="345" t="n"/>
      <c r="E334" s="345" t="n"/>
      <c r="F334" s="345" t="n"/>
      <c r="G334" s="345" t="n"/>
      <c r="H334" s="338" t="n"/>
    </row>
    <row r="335">
      <c r="B335" s="124" t="inlineStr">
        <is>
          <t>Other expenses</t>
        </is>
      </c>
      <c r="C335" s="343" t="n"/>
      <c r="D335" s="343" t="n"/>
      <c r="E335" s="343" t="n"/>
      <c r="F335" s="343" t="n"/>
      <c r="G335" s="343" t="n"/>
      <c r="H335" s="338" t="n"/>
      <c r="I335" s="264" t="inlineStr">
        <is>
          <t>% to revenue</t>
        </is>
      </c>
      <c r="J335" s="265" t="n"/>
      <c r="K335" s="265" t="n"/>
      <c r="L335" s="265" t="n"/>
      <c r="M335" s="265" t="n"/>
      <c r="O335" s="264" t="inlineStr">
        <is>
          <t>y-o-y change</t>
        </is>
      </c>
      <c r="P335" s="265" t="n"/>
      <c r="Q335" s="265" t="n"/>
      <c r="R335" s="265" t="n"/>
    </row>
    <row r="336">
      <c r="B336" s="134" t="inlineStr">
        <is>
          <t>Particulars</t>
        </is>
      </c>
      <c r="C336" s="333">
        <f>C6</f>
        <v/>
      </c>
      <c r="D336" s="333">
        <f>D6</f>
        <v/>
      </c>
      <c r="E336" s="333">
        <f>E6</f>
        <v/>
      </c>
      <c r="F336" s="333">
        <f>F6</f>
        <v/>
      </c>
      <c r="G336" s="333">
        <f>G6</f>
        <v/>
      </c>
      <c r="H336" s="338" t="n"/>
      <c r="I336" s="266">
        <f>C6</f>
        <v/>
      </c>
      <c r="J336" s="266">
        <f>D6</f>
        <v/>
      </c>
      <c r="K336" s="266">
        <f>E6</f>
        <v/>
      </c>
      <c r="L336" s="266">
        <f>F6</f>
        <v/>
      </c>
      <c r="M336" s="266">
        <f>G6</f>
        <v/>
      </c>
      <c r="O336" s="266">
        <f>D6</f>
        <v/>
      </c>
      <c r="P336" s="266">
        <f>E6</f>
        <v/>
      </c>
      <c r="Q336" s="266">
        <f>F6</f>
        <v/>
      </c>
      <c r="R336" s="266">
        <f>G6</f>
        <v/>
      </c>
    </row>
    <row r="337" customFormat="1" s="360">
      <c r="A337" s="361" t="n"/>
      <c r="B337" s="254" t="inlineStr">
        <is>
          <t>Direct expenses</t>
        </is>
      </c>
      <c r="C337" s="362">
        <f>SUM(C338:C386)</f>
        <v/>
      </c>
      <c r="D337" s="362">
        <f>SUM(D338:D386)</f>
        <v/>
      </c>
      <c r="E337" s="362">
        <f>SUM(E338:E386)</f>
        <v/>
      </c>
      <c r="F337" s="362">
        <f>SUM(F338:F386)</f>
        <v/>
      </c>
      <c r="G337" s="362">
        <f>SUM(G338:G386)</f>
        <v/>
      </c>
      <c r="H337" s="363" t="n"/>
      <c r="I337" s="267">
        <f>IFERROR(C337/C$245,0)</f>
        <v/>
      </c>
      <c r="J337" s="267">
        <f>IFERROR(D337/D$245,0)</f>
        <v/>
      </c>
      <c r="K337" s="267">
        <f>IFERROR(E337/E$245,0)</f>
        <v/>
      </c>
      <c r="L337" s="267">
        <f>IFERROR(F337/F$245,0)</f>
        <v/>
      </c>
      <c r="M337" s="267">
        <f>IFERROR(G337/G$245,0)</f>
        <v/>
      </c>
      <c r="N337" s="267" t="n"/>
      <c r="O337" s="267">
        <f>IFERROR(D337/C337-1,0)</f>
        <v/>
      </c>
      <c r="P337" s="267">
        <f>IFERROR(E337/D337-1,0)</f>
        <v/>
      </c>
      <c r="Q337" s="267">
        <f>IFERROR(F337/E337-1,0)</f>
        <v/>
      </c>
      <c r="R337" s="267">
        <f>IFERROR(G337/F337-1,0)</f>
        <v/>
      </c>
    </row>
    <row r="338">
      <c r="B338" s="138" t="inlineStr">
        <is>
          <t>Freight inward</t>
        </is>
      </c>
      <c r="C338" s="338" t="n"/>
      <c r="D338" s="338" t="n"/>
      <c r="E338" s="338" t="n"/>
      <c r="F338" s="338" t="n"/>
      <c r="G338" s="338" t="n"/>
      <c r="H338" s="331" t="n"/>
      <c r="I338" s="262">
        <f>IFERROR(C338/C$245,0)</f>
        <v/>
      </c>
      <c r="J338" s="262">
        <f>IFERROR(D338/D$245,0)</f>
        <v/>
      </c>
      <c r="K338" s="262">
        <f>IFERROR(E338/E$245,0)</f>
        <v/>
      </c>
      <c r="L338" s="262">
        <f>IFERROR(F338/F$245,0)</f>
        <v/>
      </c>
      <c r="M338" s="262">
        <f>IFERROR(G338/G$245,0)</f>
        <v/>
      </c>
      <c r="O338" s="262">
        <f>IFERROR(D338/C338-1,0)</f>
        <v/>
      </c>
      <c r="P338" s="262">
        <f>IFERROR(E338/D338-1,0)</f>
        <v/>
      </c>
      <c r="Q338" s="262">
        <f>IFERROR(F338/E338-1,0)</f>
        <v/>
      </c>
      <c r="R338" s="262">
        <f>IFERROR(G338/F338-1,0)</f>
        <v/>
      </c>
    </row>
    <row r="339">
      <c r="B339" s="251" t="inlineStr">
        <is>
          <t>Factory electricity expenses</t>
        </is>
      </c>
      <c r="C339" s="338" t="n"/>
      <c r="D339" s="338" t="n"/>
      <c r="E339" s="338" t="n"/>
      <c r="F339" s="338" t="n"/>
      <c r="G339" s="338" t="n"/>
      <c r="H339" s="331" t="n"/>
      <c r="I339" s="262">
        <f>IFERROR(C339/C$245,0)</f>
        <v/>
      </c>
      <c r="J339" s="262">
        <f>IFERROR(D339/D$245,0)</f>
        <v/>
      </c>
      <c r="K339" s="262">
        <f>IFERROR(E339/E$245,0)</f>
        <v/>
      </c>
      <c r="L339" s="262">
        <f>IFERROR(F339/F$245,0)</f>
        <v/>
      </c>
      <c r="M339" s="262">
        <f>IFERROR(G339/G$245,0)</f>
        <v/>
      </c>
      <c r="O339" s="262">
        <f>IFERROR(D339/C339-1,0)</f>
        <v/>
      </c>
      <c r="P339" s="262">
        <f>IFERROR(E339/D339-1,0)</f>
        <v/>
      </c>
      <c r="Q339" s="262">
        <f>IFERROR(F339/E339-1,0)</f>
        <v/>
      </c>
      <c r="R339" s="262">
        <f>IFERROR(G339/F339-1,0)</f>
        <v/>
      </c>
    </row>
    <row r="340">
      <c r="B340" s="251" t="inlineStr">
        <is>
          <t>Wages</t>
        </is>
      </c>
      <c r="C340" s="338" t="n"/>
      <c r="D340" s="338" t="n"/>
      <c r="E340" s="338" t="n"/>
      <c r="F340" s="338" t="n"/>
      <c r="G340" s="338" t="n"/>
      <c r="H340" s="331" t="n"/>
      <c r="I340" s="262">
        <f>IFERROR(C340/C$245,0)</f>
        <v/>
      </c>
      <c r="J340" s="262">
        <f>IFERROR(D340/D$245,0)</f>
        <v/>
      </c>
      <c r="K340" s="262">
        <f>IFERROR(E340/E$245,0)</f>
        <v/>
      </c>
      <c r="L340" s="262">
        <f>IFERROR(F340/F$245,0)</f>
        <v/>
      </c>
      <c r="M340" s="262">
        <f>IFERROR(G340/G$245,0)</f>
        <v/>
      </c>
      <c r="O340" s="262">
        <f>IFERROR(D340/C340-1,0)</f>
        <v/>
      </c>
      <c r="P340" s="262">
        <f>IFERROR(E340/D340-1,0)</f>
        <v/>
      </c>
      <c r="Q340" s="262">
        <f>IFERROR(F340/E340-1,0)</f>
        <v/>
      </c>
      <c r="R340" s="262">
        <f>IFERROR(G340/F340-1,0)</f>
        <v/>
      </c>
    </row>
    <row r="341">
      <c r="B341" s="251" t="inlineStr">
        <is>
          <t>Factory rent</t>
        </is>
      </c>
      <c r="C341" s="338" t="n"/>
      <c r="D341" s="338" t="n"/>
      <c r="E341" s="338" t="n"/>
      <c r="F341" s="338" t="n"/>
      <c r="G341" s="338" t="n"/>
      <c r="H341" s="331" t="n"/>
      <c r="I341" s="262">
        <f>IFERROR(C341/C$245,0)</f>
        <v/>
      </c>
      <c r="J341" s="262">
        <f>IFERROR(D341/D$245,0)</f>
        <v/>
      </c>
      <c r="K341" s="262">
        <f>IFERROR(E341/E$245,0)</f>
        <v/>
      </c>
      <c r="L341" s="262">
        <f>IFERROR(F341/F$245,0)</f>
        <v/>
      </c>
      <c r="M341" s="262">
        <f>IFERROR(G341/G$245,0)</f>
        <v/>
      </c>
      <c r="O341" s="262">
        <f>IFERROR(D341/C341-1,0)</f>
        <v/>
      </c>
      <c r="P341" s="262">
        <f>IFERROR(E341/D341-1,0)</f>
        <v/>
      </c>
      <c r="Q341" s="262">
        <f>IFERROR(F341/E341-1,0)</f>
        <v/>
      </c>
      <c r="R341" s="262">
        <f>IFERROR(G341/F341-1,0)</f>
        <v/>
      </c>
    </row>
    <row r="342">
      <c r="B342" s="251" t="inlineStr">
        <is>
          <t>Custom duty</t>
        </is>
      </c>
      <c r="C342" s="338" t="n"/>
      <c r="D342" s="338" t="n"/>
      <c r="E342" s="338" t="n"/>
      <c r="F342" s="338" t="n"/>
      <c r="G342" s="338" t="n"/>
      <c r="H342" s="331" t="n"/>
      <c r="I342" s="262">
        <f>IFERROR(C342/C$245,0)</f>
        <v/>
      </c>
      <c r="J342" s="262">
        <f>IFERROR(D342/D$245,0)</f>
        <v/>
      </c>
      <c r="K342" s="262">
        <f>IFERROR(E342/E$245,0)</f>
        <v/>
      </c>
      <c r="L342" s="262">
        <f>IFERROR(F342/F$245,0)</f>
        <v/>
      </c>
      <c r="M342" s="262">
        <f>IFERROR(G342/G$245,0)</f>
        <v/>
      </c>
      <c r="O342" s="262">
        <f>IFERROR(D342/C342-1,0)</f>
        <v/>
      </c>
      <c r="P342" s="262">
        <f>IFERROR(E342/D342-1,0)</f>
        <v/>
      </c>
      <c r="Q342" s="262">
        <f>IFERROR(F342/E342-1,0)</f>
        <v/>
      </c>
      <c r="R342" s="262">
        <f>IFERROR(G342/F342-1,0)</f>
        <v/>
      </c>
    </row>
    <row r="343">
      <c r="B343" s="251" t="inlineStr">
        <is>
          <t>Diesel expenses</t>
        </is>
      </c>
      <c r="C343" s="338" t="n"/>
      <c r="D343" s="338" t="n"/>
      <c r="E343" s="338" t="n"/>
      <c r="F343" s="338" t="n"/>
      <c r="G343" s="338" t="n"/>
      <c r="H343" s="331" t="n"/>
      <c r="I343" s="262">
        <f>IFERROR(C343/C$245,0)</f>
        <v/>
      </c>
      <c r="J343" s="262">
        <f>IFERROR(D343/D$245,0)</f>
        <v/>
      </c>
      <c r="K343" s="262">
        <f>IFERROR(E343/E$245,0)</f>
        <v/>
      </c>
      <c r="L343" s="262">
        <f>IFERROR(F343/F$245,0)</f>
        <v/>
      </c>
      <c r="M343" s="262">
        <f>IFERROR(G343/G$245,0)</f>
        <v/>
      </c>
      <c r="O343" s="262">
        <f>IFERROR(D343/C343-1,0)</f>
        <v/>
      </c>
      <c r="P343" s="262">
        <f>IFERROR(E343/D343-1,0)</f>
        <v/>
      </c>
      <c r="Q343" s="262">
        <f>IFERROR(F343/E343-1,0)</f>
        <v/>
      </c>
      <c r="R343" s="262">
        <f>IFERROR(G343/F343-1,0)</f>
        <v/>
      </c>
    </row>
    <row r="344">
      <c r="B344" s="251" t="inlineStr">
        <is>
          <t>Production expenses</t>
        </is>
      </c>
      <c r="C344" s="338" t="n"/>
      <c r="D344" s="338" t="n"/>
      <c r="E344" s="338" t="n"/>
      <c r="F344" s="338" t="n"/>
      <c r="G344" s="338" t="n"/>
      <c r="H344" s="331" t="n"/>
      <c r="I344" s="262">
        <f>IFERROR(C344/C$245,0)</f>
        <v/>
      </c>
      <c r="J344" s="262">
        <f>IFERROR(D344/D$245,0)</f>
        <v/>
      </c>
      <c r="K344" s="262">
        <f>IFERROR(E344/E$245,0)</f>
        <v/>
      </c>
      <c r="L344" s="262">
        <f>IFERROR(F344/F$245,0)</f>
        <v/>
      </c>
      <c r="M344" s="262">
        <f>IFERROR(G344/G$245,0)</f>
        <v/>
      </c>
      <c r="O344" s="262">
        <f>IFERROR(D344/C344-1,0)</f>
        <v/>
      </c>
      <c r="P344" s="262">
        <f>IFERROR(E344/D344-1,0)</f>
        <v/>
      </c>
      <c r="Q344" s="262">
        <f>IFERROR(F344/E344-1,0)</f>
        <v/>
      </c>
      <c r="R344" s="262">
        <f>IFERROR(G344/F344-1,0)</f>
        <v/>
      </c>
    </row>
    <row r="345">
      <c r="B345" s="138" t="inlineStr">
        <is>
          <t>Foreign exchange fluctuation loss/ (gain)</t>
        </is>
      </c>
      <c r="C345" s="338" t="n"/>
      <c r="D345" s="338" t="n"/>
      <c r="E345" s="338" t="n"/>
      <c r="F345" s="338" t="n"/>
      <c r="G345" s="338" t="n"/>
      <c r="H345" s="338" t="n"/>
      <c r="I345" s="262">
        <f>IFERROR(C345/C$245,0)</f>
        <v/>
      </c>
      <c r="J345" s="262">
        <f>IFERROR(D345/D$245,0)</f>
        <v/>
      </c>
      <c r="K345" s="262">
        <f>IFERROR(E345/E$245,0)</f>
        <v/>
      </c>
      <c r="L345" s="262">
        <f>IFERROR(F345/F$245,0)</f>
        <v/>
      </c>
      <c r="M345" s="262">
        <f>IFERROR(G345/G$245,0)</f>
        <v/>
      </c>
      <c r="O345" s="262">
        <f>IFERROR(D345/C345-1,0)</f>
        <v/>
      </c>
      <c r="P345" s="262">
        <f>IFERROR(E345/D345-1,0)</f>
        <v/>
      </c>
      <c r="Q345" s="262">
        <f>IFERROR(F345/E345-1,0)</f>
        <v/>
      </c>
      <c r="R345" s="262">
        <f>IFERROR(G345/F345-1,0)</f>
        <v/>
      </c>
    </row>
    <row r="346">
      <c r="B346" s="138" t="inlineStr">
        <is>
          <t>Direct labor</t>
        </is>
      </c>
      <c r="C346" s="338" t="n"/>
      <c r="D346" s="338" t="n"/>
      <c r="E346" s="338" t="n"/>
      <c r="F346" s="338" t="n"/>
      <c r="G346" s="338" t="n"/>
      <c r="H346" s="331" t="n"/>
      <c r="I346" s="262">
        <f>IFERROR(C346/C$245,0)</f>
        <v/>
      </c>
      <c r="J346" s="262">
        <f>IFERROR(D346/D$245,0)</f>
        <v/>
      </c>
      <c r="K346" s="262">
        <f>IFERROR(E346/E$245,0)</f>
        <v/>
      </c>
      <c r="L346" s="262">
        <f>IFERROR(F346/F$245,0)</f>
        <v/>
      </c>
      <c r="M346" s="262">
        <f>IFERROR(G346/G$245,0)</f>
        <v/>
      </c>
      <c r="O346" s="262">
        <f>IFERROR(D346/C346-1,0)</f>
        <v/>
      </c>
      <c r="P346" s="262">
        <f>IFERROR(E346/D346-1,0)</f>
        <v/>
      </c>
      <c r="Q346" s="262">
        <f>IFERROR(F346/E346-1,0)</f>
        <v/>
      </c>
      <c r="R346" s="262">
        <f>IFERROR(G346/F346-1,0)</f>
        <v/>
      </c>
    </row>
    <row r="347">
      <c r="B347" s="138" t="inlineStr">
        <is>
          <t>Direct materials</t>
        </is>
      </c>
      <c r="C347" s="338" t="n"/>
      <c r="D347" s="338" t="n"/>
      <c r="E347" s="338" t="n"/>
      <c r="F347" s="338" t="n"/>
      <c r="G347" s="338" t="n"/>
      <c r="H347" s="331" t="n"/>
      <c r="I347" s="262">
        <f>IFERROR(C347/C$245,0)</f>
        <v/>
      </c>
      <c r="J347" s="262">
        <f>IFERROR(D347/D$245,0)</f>
        <v/>
      </c>
      <c r="K347" s="262">
        <f>IFERROR(E347/E$245,0)</f>
        <v/>
      </c>
      <c r="L347" s="262">
        <f>IFERROR(F347/F$245,0)</f>
        <v/>
      </c>
      <c r="M347" s="262">
        <f>IFERROR(G347/G$245,0)</f>
        <v/>
      </c>
      <c r="O347" s="262">
        <f>IFERROR(D347/C347-1,0)</f>
        <v/>
      </c>
      <c r="P347" s="262">
        <f>IFERROR(E347/D347-1,0)</f>
        <v/>
      </c>
      <c r="Q347" s="262">
        <f>IFERROR(F347/E347-1,0)</f>
        <v/>
      </c>
      <c r="R347" s="262">
        <f>IFERROR(G347/F347-1,0)</f>
        <v/>
      </c>
    </row>
    <row r="348">
      <c r="B348" s="138" t="inlineStr">
        <is>
          <t>Manufacturing supplies</t>
        </is>
      </c>
      <c r="C348" s="338" t="n"/>
      <c r="D348" s="338" t="n"/>
      <c r="E348" s="338" t="n"/>
      <c r="F348" s="338" t="n"/>
      <c r="G348" s="338" t="n"/>
      <c r="H348" s="331" t="n"/>
      <c r="I348" s="262">
        <f>IFERROR(C348/C$245,0)</f>
        <v/>
      </c>
      <c r="J348" s="262">
        <f>IFERROR(D348/D$245,0)</f>
        <v/>
      </c>
      <c r="K348" s="262">
        <f>IFERROR(E348/E$245,0)</f>
        <v/>
      </c>
      <c r="L348" s="262">
        <f>IFERROR(F348/F$245,0)</f>
        <v/>
      </c>
      <c r="M348" s="262">
        <f>IFERROR(G348/G$245,0)</f>
        <v/>
      </c>
      <c r="O348" s="262">
        <f>IFERROR(D348/C348-1,0)</f>
        <v/>
      </c>
      <c r="P348" s="262">
        <f>IFERROR(E348/D348-1,0)</f>
        <v/>
      </c>
      <c r="Q348" s="262">
        <f>IFERROR(F348/E348-1,0)</f>
        <v/>
      </c>
      <c r="R348" s="262">
        <f>IFERROR(G348/F348-1,0)</f>
        <v/>
      </c>
    </row>
    <row r="349">
      <c r="B349" s="138" t="inlineStr">
        <is>
          <t>Factory lighting</t>
        </is>
      </c>
      <c r="C349" s="338" t="n"/>
      <c r="D349" s="338" t="n"/>
      <c r="E349" s="338" t="n"/>
      <c r="F349" s="338" t="n"/>
      <c r="G349" s="338" t="n"/>
      <c r="H349" s="331" t="n"/>
      <c r="I349" s="262">
        <f>IFERROR(C349/C$245,0)</f>
        <v/>
      </c>
      <c r="J349" s="262">
        <f>IFERROR(D349/D$245,0)</f>
        <v/>
      </c>
      <c r="K349" s="262">
        <f>IFERROR(E349/E$245,0)</f>
        <v/>
      </c>
      <c r="L349" s="262">
        <f>IFERROR(F349/F$245,0)</f>
        <v/>
      </c>
      <c r="M349" s="262">
        <f>IFERROR(G349/G$245,0)</f>
        <v/>
      </c>
      <c r="O349" s="262">
        <f>IFERROR(D349/C349-1,0)</f>
        <v/>
      </c>
      <c r="P349" s="262">
        <f>IFERROR(E349/D349-1,0)</f>
        <v/>
      </c>
      <c r="Q349" s="262">
        <f>IFERROR(F349/E349-1,0)</f>
        <v/>
      </c>
      <c r="R349" s="262">
        <f>IFERROR(G349/F349-1,0)</f>
        <v/>
      </c>
    </row>
    <row r="350">
      <c r="B350" s="138" t="inlineStr">
        <is>
          <t>Factory insurance</t>
        </is>
      </c>
      <c r="C350" s="338" t="n"/>
      <c r="D350" s="338" t="n"/>
      <c r="E350" s="338" t="n"/>
      <c r="F350" s="338" t="n"/>
      <c r="G350" s="338" t="n"/>
      <c r="H350" s="331" t="n"/>
      <c r="I350" s="262">
        <f>IFERROR(C350/C$245,0)</f>
        <v/>
      </c>
      <c r="J350" s="262">
        <f>IFERROR(D350/D$245,0)</f>
        <v/>
      </c>
      <c r="K350" s="262">
        <f>IFERROR(E350/E$245,0)</f>
        <v/>
      </c>
      <c r="L350" s="262">
        <f>IFERROR(F350/F$245,0)</f>
        <v/>
      </c>
      <c r="M350" s="262">
        <f>IFERROR(G350/G$245,0)</f>
        <v/>
      </c>
      <c r="O350" s="262">
        <f>IFERROR(D350/C350-1,0)</f>
        <v/>
      </c>
      <c r="P350" s="262">
        <f>IFERROR(E350/D350-1,0)</f>
        <v/>
      </c>
      <c r="Q350" s="262">
        <f>IFERROR(F350/E350-1,0)</f>
        <v/>
      </c>
      <c r="R350" s="262">
        <f>IFERROR(G350/F350-1,0)</f>
        <v/>
      </c>
    </row>
    <row r="351">
      <c r="B351" s="138" t="inlineStr">
        <is>
          <t>Packing expenses</t>
        </is>
      </c>
      <c r="C351" s="338" t="n"/>
      <c r="D351" s="338" t="n"/>
      <c r="E351" s="338" t="n"/>
      <c r="F351" s="338" t="n"/>
      <c r="G351" s="338" t="n"/>
      <c r="H351" s="331" t="n"/>
      <c r="I351" s="262">
        <f>IFERROR(C351/C$245,0)</f>
        <v/>
      </c>
      <c r="J351" s="262">
        <f>IFERROR(D351/D$245,0)</f>
        <v/>
      </c>
      <c r="K351" s="262">
        <f>IFERROR(E351/E$245,0)</f>
        <v/>
      </c>
      <c r="L351" s="262">
        <f>IFERROR(F351/F$245,0)</f>
        <v/>
      </c>
      <c r="M351" s="262">
        <f>IFERROR(G351/G$245,0)</f>
        <v/>
      </c>
      <c r="O351" s="262">
        <f>IFERROR(D351/C351-1,0)</f>
        <v/>
      </c>
      <c r="P351" s="262">
        <f>IFERROR(E351/D351-1,0)</f>
        <v/>
      </c>
      <c r="Q351" s="262">
        <f>IFERROR(F351/E351-1,0)</f>
        <v/>
      </c>
      <c r="R351" s="262">
        <f>IFERROR(G351/F351-1,0)</f>
        <v/>
      </c>
    </row>
    <row r="352">
      <c r="B352" s="138" t="inlineStr">
        <is>
          <t>Gas, water, and fuel</t>
        </is>
      </c>
      <c r="C352" s="338" t="n"/>
      <c r="D352" s="338" t="n"/>
      <c r="E352" s="338" t="n"/>
      <c r="F352" s="338" t="n"/>
      <c r="G352" s="338" t="n"/>
      <c r="H352" s="331" t="n"/>
      <c r="I352" s="262">
        <f>IFERROR(C352/C$245,0)</f>
        <v/>
      </c>
      <c r="J352" s="262">
        <f>IFERROR(D352/D$245,0)</f>
        <v/>
      </c>
      <c r="K352" s="262">
        <f>IFERROR(E352/E$245,0)</f>
        <v/>
      </c>
      <c r="L352" s="262">
        <f>IFERROR(F352/F$245,0)</f>
        <v/>
      </c>
      <c r="M352" s="262">
        <f>IFERROR(G352/G$245,0)</f>
        <v/>
      </c>
      <c r="O352" s="262">
        <f>IFERROR(D352/C352-1,0)</f>
        <v/>
      </c>
      <c r="P352" s="262">
        <f>IFERROR(E352/D352-1,0)</f>
        <v/>
      </c>
      <c r="Q352" s="262">
        <f>IFERROR(F352/E352-1,0)</f>
        <v/>
      </c>
      <c r="R352" s="262">
        <f>IFERROR(G352/F352-1,0)</f>
        <v/>
      </c>
    </row>
    <row r="353">
      <c r="B353" s="138" t="inlineStr">
        <is>
          <t>Cost of raw materials</t>
        </is>
      </c>
      <c r="C353" s="338" t="n"/>
      <c r="D353" s="338" t="n"/>
      <c r="E353" s="338" t="n"/>
      <c r="F353" s="338" t="n"/>
      <c r="G353" s="338" t="n"/>
      <c r="H353" s="331" t="n"/>
      <c r="I353" s="262">
        <f>IFERROR(C353/C$245,0)</f>
        <v/>
      </c>
      <c r="J353" s="262">
        <f>IFERROR(D353/D$245,0)</f>
        <v/>
      </c>
      <c r="K353" s="262">
        <f>IFERROR(E353/E$245,0)</f>
        <v/>
      </c>
      <c r="L353" s="262">
        <f>IFERROR(F353/F$245,0)</f>
        <v/>
      </c>
      <c r="M353" s="262">
        <f>IFERROR(G353/G$245,0)</f>
        <v/>
      </c>
      <c r="O353" s="262">
        <f>IFERROR(D353/C353-1,0)</f>
        <v/>
      </c>
      <c r="P353" s="262">
        <f>IFERROR(E353/D353-1,0)</f>
        <v/>
      </c>
      <c r="Q353" s="262">
        <f>IFERROR(F353/E353-1,0)</f>
        <v/>
      </c>
      <c r="R353" s="262">
        <f>IFERROR(G353/F353-1,0)</f>
        <v/>
      </c>
    </row>
    <row r="354">
      <c r="B354" s="138" t="inlineStr">
        <is>
          <t>Equipment</t>
        </is>
      </c>
      <c r="C354" s="338" t="n"/>
      <c r="D354" s="338" t="n"/>
      <c r="E354" s="338" t="n"/>
      <c r="F354" s="338" t="n"/>
      <c r="G354" s="338" t="n"/>
      <c r="H354" s="331" t="n"/>
      <c r="I354" s="262">
        <f>IFERROR(C354/C$245,0)</f>
        <v/>
      </c>
      <c r="J354" s="262">
        <f>IFERROR(D354/D$245,0)</f>
        <v/>
      </c>
      <c r="K354" s="262">
        <f>IFERROR(E354/E$245,0)</f>
        <v/>
      </c>
      <c r="L354" s="262">
        <f>IFERROR(F354/F$245,0)</f>
        <v/>
      </c>
      <c r="M354" s="262">
        <f>IFERROR(G354/G$245,0)</f>
        <v/>
      </c>
      <c r="O354" s="262">
        <f>IFERROR(D354/C354-1,0)</f>
        <v/>
      </c>
      <c r="P354" s="262">
        <f>IFERROR(E354/D354-1,0)</f>
        <v/>
      </c>
      <c r="Q354" s="262">
        <f>IFERROR(F354/E354-1,0)</f>
        <v/>
      </c>
      <c r="R354" s="262">
        <f>IFERROR(G354/F354-1,0)</f>
        <v/>
      </c>
    </row>
    <row r="355">
      <c r="B355" s="138" t="inlineStr">
        <is>
          <t>Cargo</t>
        </is>
      </c>
      <c r="C355" s="338" t="n"/>
      <c r="D355" s="338" t="n"/>
      <c r="E355" s="338" t="n"/>
      <c r="F355" s="338" t="n"/>
      <c r="G355" s="338" t="n"/>
      <c r="H355" s="331" t="n"/>
      <c r="I355" s="262">
        <f>IFERROR(C355/C$245,0)</f>
        <v/>
      </c>
      <c r="J355" s="262">
        <f>IFERROR(D355/D$245,0)</f>
        <v/>
      </c>
      <c r="K355" s="262">
        <f>IFERROR(E355/E$245,0)</f>
        <v/>
      </c>
      <c r="L355" s="262">
        <f>IFERROR(F355/F$245,0)</f>
        <v/>
      </c>
      <c r="M355" s="262">
        <f>IFERROR(G355/G$245,0)</f>
        <v/>
      </c>
      <c r="O355" s="262">
        <f>IFERROR(D355/C355-1,0)</f>
        <v/>
      </c>
      <c r="P355" s="262">
        <f>IFERROR(E355/D355-1,0)</f>
        <v/>
      </c>
      <c r="Q355" s="262">
        <f>IFERROR(F355/E355-1,0)</f>
        <v/>
      </c>
      <c r="R355" s="262">
        <f>IFERROR(G355/F355-1,0)</f>
        <v/>
      </c>
    </row>
    <row r="356" hidden="1">
      <c r="B356" s="138" t="n"/>
      <c r="C356" s="338" t="n"/>
      <c r="D356" s="338" t="n"/>
      <c r="E356" s="338" t="n"/>
      <c r="F356" s="338" t="n"/>
      <c r="G356" s="338" t="n"/>
      <c r="H356" s="331" t="n"/>
      <c r="I356" s="262">
        <f>IFERROR(C356/C$245,0)</f>
        <v/>
      </c>
      <c r="J356" s="262">
        <f>IFERROR(D356/D$245,0)</f>
        <v/>
      </c>
      <c r="K356" s="262">
        <f>IFERROR(E356/E$245,0)</f>
        <v/>
      </c>
      <c r="L356" s="262">
        <f>IFERROR(F356/F$245,0)</f>
        <v/>
      </c>
      <c r="M356" s="262">
        <f>IFERROR(G356/G$245,0)</f>
        <v/>
      </c>
      <c r="O356" s="262">
        <f>IFERROR(D356/C356-1,0)</f>
        <v/>
      </c>
      <c r="P356" s="262">
        <f>IFERROR(E356/D356-1,0)</f>
        <v/>
      </c>
      <c r="Q356" s="262">
        <f>IFERROR(F356/E356-1,0)</f>
        <v/>
      </c>
      <c r="R356" s="262">
        <f>IFERROR(G356/F356-1,0)</f>
        <v/>
      </c>
    </row>
    <row r="357" hidden="1">
      <c r="B357" s="138" t="n"/>
      <c r="C357" s="338" t="n"/>
      <c r="D357" s="338" t="n"/>
      <c r="E357" s="338" t="n"/>
      <c r="F357" s="338" t="n"/>
      <c r="G357" s="338" t="n"/>
      <c r="H357" s="331" t="n"/>
      <c r="I357" s="262">
        <f>IFERROR(C357/C$245,0)</f>
        <v/>
      </c>
      <c r="J357" s="262">
        <f>IFERROR(D357/D$245,0)</f>
        <v/>
      </c>
      <c r="K357" s="262">
        <f>IFERROR(E357/E$245,0)</f>
        <v/>
      </c>
      <c r="L357" s="262">
        <f>IFERROR(F357/F$245,0)</f>
        <v/>
      </c>
      <c r="M357" s="262">
        <f>IFERROR(G357/G$245,0)</f>
        <v/>
      </c>
      <c r="O357" s="262">
        <f>IFERROR(D357/C357-1,0)</f>
        <v/>
      </c>
      <c r="P357" s="262">
        <f>IFERROR(E357/D357-1,0)</f>
        <v/>
      </c>
      <c r="Q357" s="262">
        <f>IFERROR(F357/E357-1,0)</f>
        <v/>
      </c>
      <c r="R357" s="262">
        <f>IFERROR(G357/F357-1,0)</f>
        <v/>
      </c>
    </row>
    <row r="358" hidden="1">
      <c r="B358" s="138" t="n"/>
      <c r="C358" s="338" t="n"/>
      <c r="D358" s="338" t="n"/>
      <c r="E358" s="338" t="n"/>
      <c r="F358" s="338" t="n"/>
      <c r="G358" s="338" t="n"/>
      <c r="H358" s="331" t="n"/>
      <c r="I358" s="262">
        <f>IFERROR(C358/C$245,0)</f>
        <v/>
      </c>
      <c r="J358" s="262">
        <f>IFERROR(D358/D$245,0)</f>
        <v/>
      </c>
      <c r="K358" s="262">
        <f>IFERROR(E358/E$245,0)</f>
        <v/>
      </c>
      <c r="L358" s="262">
        <f>IFERROR(F358/F$245,0)</f>
        <v/>
      </c>
      <c r="M358" s="262">
        <f>IFERROR(G358/G$245,0)</f>
        <v/>
      </c>
      <c r="O358" s="262">
        <f>IFERROR(D358/C358-1,0)</f>
        <v/>
      </c>
      <c r="P358" s="262">
        <f>IFERROR(E358/D358-1,0)</f>
        <v/>
      </c>
      <c r="Q358" s="262">
        <f>IFERROR(F358/E358-1,0)</f>
        <v/>
      </c>
      <c r="R358" s="262">
        <f>IFERROR(G358/F358-1,0)</f>
        <v/>
      </c>
    </row>
    <row r="359" hidden="1">
      <c r="B359" s="138" t="n"/>
      <c r="C359" s="338" t="n"/>
      <c r="D359" s="338" t="n"/>
      <c r="E359" s="338" t="n"/>
      <c r="F359" s="338" t="n"/>
      <c r="G359" s="338" t="n"/>
      <c r="H359" s="331" t="n"/>
      <c r="I359" s="262">
        <f>IFERROR(C359/C$245,0)</f>
        <v/>
      </c>
      <c r="J359" s="262">
        <f>IFERROR(D359/D$245,0)</f>
        <v/>
      </c>
      <c r="K359" s="262">
        <f>IFERROR(E359/E$245,0)</f>
        <v/>
      </c>
      <c r="L359" s="262">
        <f>IFERROR(F359/F$245,0)</f>
        <v/>
      </c>
      <c r="M359" s="262">
        <f>IFERROR(G359/G$245,0)</f>
        <v/>
      </c>
      <c r="O359" s="262">
        <f>IFERROR(D359/C359-1,0)</f>
        <v/>
      </c>
      <c r="P359" s="262">
        <f>IFERROR(E359/D359-1,0)</f>
        <v/>
      </c>
      <c r="Q359" s="262">
        <f>IFERROR(F359/E359-1,0)</f>
        <v/>
      </c>
      <c r="R359" s="262">
        <f>IFERROR(G359/F359-1,0)</f>
        <v/>
      </c>
    </row>
    <row r="360" hidden="1">
      <c r="B360" s="138" t="n"/>
      <c r="C360" s="338" t="n"/>
      <c r="D360" s="338" t="n"/>
      <c r="E360" s="338" t="n"/>
      <c r="F360" s="338" t="n"/>
      <c r="G360" s="338" t="n"/>
      <c r="H360" s="331" t="n"/>
      <c r="I360" s="262">
        <f>IFERROR(C360/C$245,0)</f>
        <v/>
      </c>
      <c r="J360" s="262">
        <f>IFERROR(D360/D$245,0)</f>
        <v/>
      </c>
      <c r="K360" s="262">
        <f>IFERROR(E360/E$245,0)</f>
        <v/>
      </c>
      <c r="L360" s="262">
        <f>IFERROR(F360/F$245,0)</f>
        <v/>
      </c>
      <c r="M360" s="262">
        <f>IFERROR(G360/G$245,0)</f>
        <v/>
      </c>
      <c r="O360" s="262">
        <f>IFERROR(D360/C360-1,0)</f>
        <v/>
      </c>
      <c r="P360" s="262">
        <f>IFERROR(E360/D360-1,0)</f>
        <v/>
      </c>
      <c r="Q360" s="262">
        <f>IFERROR(F360/E360-1,0)</f>
        <v/>
      </c>
      <c r="R360" s="262">
        <f>IFERROR(G360/F360-1,0)</f>
        <v/>
      </c>
    </row>
    <row r="361" hidden="1">
      <c r="B361" s="138" t="n"/>
      <c r="C361" s="338" t="n"/>
      <c r="D361" s="338" t="n"/>
      <c r="E361" s="338" t="n"/>
      <c r="F361" s="338" t="n"/>
      <c r="G361" s="338" t="n"/>
      <c r="H361" s="331" t="n"/>
      <c r="I361" s="262">
        <f>IFERROR(C361/C$245,0)</f>
        <v/>
      </c>
      <c r="J361" s="262">
        <f>IFERROR(D361/D$245,0)</f>
        <v/>
      </c>
      <c r="K361" s="262">
        <f>IFERROR(E361/E$245,0)</f>
        <v/>
      </c>
      <c r="L361" s="262">
        <f>IFERROR(F361/F$245,0)</f>
        <v/>
      </c>
      <c r="M361" s="262">
        <f>IFERROR(G361/G$245,0)</f>
        <v/>
      </c>
      <c r="O361" s="262">
        <f>IFERROR(D361/C361-1,0)</f>
        <v/>
      </c>
      <c r="P361" s="262">
        <f>IFERROR(E361/D361-1,0)</f>
        <v/>
      </c>
      <c r="Q361" s="262">
        <f>IFERROR(F361/E361-1,0)</f>
        <v/>
      </c>
      <c r="R361" s="262">
        <f>IFERROR(G361/F361-1,0)</f>
        <v/>
      </c>
    </row>
    <row r="362" hidden="1">
      <c r="B362" s="138" t="n"/>
      <c r="C362" s="338" t="n"/>
      <c r="D362" s="338" t="n"/>
      <c r="E362" s="338" t="n"/>
      <c r="F362" s="338" t="n"/>
      <c r="G362" s="338" t="n"/>
      <c r="H362" s="331" t="n"/>
      <c r="I362" s="262">
        <f>IFERROR(C362/C$245,0)</f>
        <v/>
      </c>
      <c r="J362" s="262">
        <f>IFERROR(D362/D$245,0)</f>
        <v/>
      </c>
      <c r="K362" s="262">
        <f>IFERROR(E362/E$245,0)</f>
        <v/>
      </c>
      <c r="L362" s="262">
        <f>IFERROR(F362/F$245,0)</f>
        <v/>
      </c>
      <c r="M362" s="262">
        <f>IFERROR(G362/G$245,0)</f>
        <v/>
      </c>
      <c r="O362" s="262">
        <f>IFERROR(D362/C362-1,0)</f>
        <v/>
      </c>
      <c r="P362" s="262">
        <f>IFERROR(E362/D362-1,0)</f>
        <v/>
      </c>
      <c r="Q362" s="262">
        <f>IFERROR(F362/E362-1,0)</f>
        <v/>
      </c>
      <c r="R362" s="262">
        <f>IFERROR(G362/F362-1,0)</f>
        <v/>
      </c>
    </row>
    <row r="363" hidden="1">
      <c r="B363" s="138" t="n"/>
      <c r="C363" s="338" t="n"/>
      <c r="D363" s="338" t="n"/>
      <c r="E363" s="338" t="n"/>
      <c r="F363" s="338" t="n"/>
      <c r="G363" s="338" t="n"/>
      <c r="H363" s="331" t="n"/>
      <c r="I363" s="262">
        <f>IFERROR(C363/C$245,0)</f>
        <v/>
      </c>
      <c r="J363" s="262">
        <f>IFERROR(D363/D$245,0)</f>
        <v/>
      </c>
      <c r="K363" s="262">
        <f>IFERROR(E363/E$245,0)</f>
        <v/>
      </c>
      <c r="L363" s="262">
        <f>IFERROR(F363/F$245,0)</f>
        <v/>
      </c>
      <c r="M363" s="262">
        <f>IFERROR(G363/G$245,0)</f>
        <v/>
      </c>
      <c r="O363" s="262">
        <f>IFERROR(D363/C363-1,0)</f>
        <v/>
      </c>
      <c r="P363" s="262">
        <f>IFERROR(E363/D363-1,0)</f>
        <v/>
      </c>
      <c r="Q363" s="262">
        <f>IFERROR(F363/E363-1,0)</f>
        <v/>
      </c>
      <c r="R363" s="262">
        <f>IFERROR(G363/F363-1,0)</f>
        <v/>
      </c>
    </row>
    <row r="364" hidden="1">
      <c r="B364" s="138" t="n"/>
      <c r="C364" s="338" t="n"/>
      <c r="D364" s="338" t="n"/>
      <c r="E364" s="338" t="n"/>
      <c r="F364" s="338" t="n"/>
      <c r="G364" s="338" t="n"/>
      <c r="H364" s="331" t="n"/>
      <c r="I364" s="262">
        <f>IFERROR(C364/C$245,0)</f>
        <v/>
      </c>
      <c r="J364" s="262">
        <f>IFERROR(D364/D$245,0)</f>
        <v/>
      </c>
      <c r="K364" s="262">
        <f>IFERROR(E364/E$245,0)</f>
        <v/>
      </c>
      <c r="L364" s="262">
        <f>IFERROR(F364/F$245,0)</f>
        <v/>
      </c>
      <c r="M364" s="262">
        <f>IFERROR(G364/G$245,0)</f>
        <v/>
      </c>
      <c r="O364" s="262">
        <f>IFERROR(D364/C364-1,0)</f>
        <v/>
      </c>
      <c r="P364" s="262">
        <f>IFERROR(E364/D364-1,0)</f>
        <v/>
      </c>
      <c r="Q364" s="262">
        <f>IFERROR(F364/E364-1,0)</f>
        <v/>
      </c>
      <c r="R364" s="262">
        <f>IFERROR(G364/F364-1,0)</f>
        <v/>
      </c>
    </row>
    <row r="365" hidden="1">
      <c r="B365" s="138" t="n"/>
      <c r="C365" s="338" t="n"/>
      <c r="D365" s="338" t="n"/>
      <c r="E365" s="338" t="n"/>
      <c r="F365" s="338" t="n"/>
      <c r="G365" s="338" t="n"/>
      <c r="H365" s="331" t="n"/>
      <c r="I365" s="262">
        <f>IFERROR(C365/C$245,0)</f>
        <v/>
      </c>
      <c r="J365" s="262">
        <f>IFERROR(D365/D$245,0)</f>
        <v/>
      </c>
      <c r="K365" s="262">
        <f>IFERROR(E365/E$245,0)</f>
        <v/>
      </c>
      <c r="L365" s="262">
        <f>IFERROR(F365/F$245,0)</f>
        <v/>
      </c>
      <c r="M365" s="262">
        <f>IFERROR(G365/G$245,0)</f>
        <v/>
      </c>
      <c r="O365" s="262">
        <f>IFERROR(D365/C365-1,0)</f>
        <v/>
      </c>
      <c r="P365" s="262">
        <f>IFERROR(E365/D365-1,0)</f>
        <v/>
      </c>
      <c r="Q365" s="262">
        <f>IFERROR(F365/E365-1,0)</f>
        <v/>
      </c>
      <c r="R365" s="262">
        <f>IFERROR(G365/F365-1,0)</f>
        <v/>
      </c>
    </row>
    <row r="366" hidden="1">
      <c r="B366" s="138" t="n"/>
      <c r="C366" s="338" t="n"/>
      <c r="D366" s="338" t="n"/>
      <c r="E366" s="338" t="n"/>
      <c r="F366" s="338" t="n"/>
      <c r="G366" s="338" t="n"/>
      <c r="H366" s="331" t="n"/>
      <c r="I366" s="262">
        <f>IFERROR(C366/C$245,0)</f>
        <v/>
      </c>
      <c r="J366" s="262">
        <f>IFERROR(D366/D$245,0)</f>
        <v/>
      </c>
      <c r="K366" s="262">
        <f>IFERROR(E366/E$245,0)</f>
        <v/>
      </c>
      <c r="L366" s="262">
        <f>IFERROR(F366/F$245,0)</f>
        <v/>
      </c>
      <c r="M366" s="262">
        <f>IFERROR(G366/G$245,0)</f>
        <v/>
      </c>
      <c r="O366" s="262">
        <f>IFERROR(D366/C366-1,0)</f>
        <v/>
      </c>
      <c r="P366" s="262">
        <f>IFERROR(E366/D366-1,0)</f>
        <v/>
      </c>
      <c r="Q366" s="262">
        <f>IFERROR(F366/E366-1,0)</f>
        <v/>
      </c>
      <c r="R366" s="262">
        <f>IFERROR(G366/F366-1,0)</f>
        <v/>
      </c>
    </row>
    <row r="367" hidden="1">
      <c r="B367" s="138" t="n"/>
      <c r="C367" s="338" t="n"/>
      <c r="D367" s="338" t="n"/>
      <c r="E367" s="338" t="n"/>
      <c r="F367" s="338" t="n"/>
      <c r="G367" s="338" t="n"/>
      <c r="H367" s="331" t="n"/>
      <c r="I367" s="262">
        <f>IFERROR(C367/C$245,0)</f>
        <v/>
      </c>
      <c r="J367" s="262">
        <f>IFERROR(D367/D$245,0)</f>
        <v/>
      </c>
      <c r="K367" s="262">
        <f>IFERROR(E367/E$245,0)</f>
        <v/>
      </c>
      <c r="L367" s="262">
        <f>IFERROR(F367/F$245,0)</f>
        <v/>
      </c>
      <c r="M367" s="262">
        <f>IFERROR(G367/G$245,0)</f>
        <v/>
      </c>
      <c r="O367" s="262">
        <f>IFERROR(D367/C367-1,0)</f>
        <v/>
      </c>
      <c r="P367" s="262">
        <f>IFERROR(E367/D367-1,0)</f>
        <v/>
      </c>
      <c r="Q367" s="262">
        <f>IFERROR(F367/E367-1,0)</f>
        <v/>
      </c>
      <c r="R367" s="262">
        <f>IFERROR(G367/F367-1,0)</f>
        <v/>
      </c>
    </row>
    <row r="368" hidden="1">
      <c r="B368" s="138" t="n"/>
      <c r="C368" s="338" t="n"/>
      <c r="D368" s="338" t="n"/>
      <c r="E368" s="338" t="n"/>
      <c r="F368" s="338" t="n"/>
      <c r="G368" s="338" t="n"/>
      <c r="H368" s="331" t="n"/>
      <c r="I368" s="262">
        <f>IFERROR(C368/C$245,0)</f>
        <v/>
      </c>
      <c r="J368" s="262">
        <f>IFERROR(D368/D$245,0)</f>
        <v/>
      </c>
      <c r="K368" s="262">
        <f>IFERROR(E368/E$245,0)</f>
        <v/>
      </c>
      <c r="L368" s="262">
        <f>IFERROR(F368/F$245,0)</f>
        <v/>
      </c>
      <c r="M368" s="262">
        <f>IFERROR(G368/G$245,0)</f>
        <v/>
      </c>
      <c r="O368" s="262">
        <f>IFERROR(D368/C368-1,0)</f>
        <v/>
      </c>
      <c r="P368" s="262">
        <f>IFERROR(E368/D368-1,0)</f>
        <v/>
      </c>
      <c r="Q368" s="262">
        <f>IFERROR(F368/E368-1,0)</f>
        <v/>
      </c>
      <c r="R368" s="262">
        <f>IFERROR(G368/F368-1,0)</f>
        <v/>
      </c>
    </row>
    <row r="369" hidden="1">
      <c r="B369" s="138" t="n"/>
      <c r="C369" s="338" t="n"/>
      <c r="D369" s="338" t="n"/>
      <c r="E369" s="338" t="n"/>
      <c r="F369" s="338" t="n"/>
      <c r="G369" s="338" t="n"/>
      <c r="H369" s="331" t="n"/>
      <c r="I369" s="262">
        <f>IFERROR(C369/C$245,0)</f>
        <v/>
      </c>
      <c r="J369" s="262">
        <f>IFERROR(D369/D$245,0)</f>
        <v/>
      </c>
      <c r="K369" s="262">
        <f>IFERROR(E369/E$245,0)</f>
        <v/>
      </c>
      <c r="L369" s="262">
        <f>IFERROR(F369/F$245,0)</f>
        <v/>
      </c>
      <c r="M369" s="262">
        <f>IFERROR(G369/G$245,0)</f>
        <v/>
      </c>
      <c r="O369" s="262">
        <f>IFERROR(D369/C369-1,0)</f>
        <v/>
      </c>
      <c r="P369" s="262">
        <f>IFERROR(E369/D369-1,0)</f>
        <v/>
      </c>
      <c r="Q369" s="262">
        <f>IFERROR(F369/E369-1,0)</f>
        <v/>
      </c>
      <c r="R369" s="262">
        <f>IFERROR(G369/F369-1,0)</f>
        <v/>
      </c>
    </row>
    <row r="370" hidden="1">
      <c r="B370" s="138" t="n"/>
      <c r="C370" s="338" t="n"/>
      <c r="D370" s="338" t="n"/>
      <c r="E370" s="338" t="n"/>
      <c r="F370" s="338" t="n"/>
      <c r="G370" s="338" t="n"/>
      <c r="H370" s="331" t="n"/>
      <c r="I370" s="262">
        <f>IFERROR(C370/C$245,0)</f>
        <v/>
      </c>
      <c r="J370" s="262">
        <f>IFERROR(D370/D$245,0)</f>
        <v/>
      </c>
      <c r="K370" s="262">
        <f>IFERROR(E370/E$245,0)</f>
        <v/>
      </c>
      <c r="L370" s="262">
        <f>IFERROR(F370/F$245,0)</f>
        <v/>
      </c>
      <c r="M370" s="262">
        <f>IFERROR(G370/G$245,0)</f>
        <v/>
      </c>
      <c r="O370" s="262">
        <f>IFERROR(D370/C370-1,0)</f>
        <v/>
      </c>
      <c r="P370" s="262">
        <f>IFERROR(E370/D370-1,0)</f>
        <v/>
      </c>
      <c r="Q370" s="262">
        <f>IFERROR(F370/E370-1,0)</f>
        <v/>
      </c>
      <c r="R370" s="262">
        <f>IFERROR(G370/F370-1,0)</f>
        <v/>
      </c>
    </row>
    <row r="371" hidden="1">
      <c r="B371" s="138" t="n"/>
      <c r="C371" s="338" t="n"/>
      <c r="D371" s="338" t="n"/>
      <c r="E371" s="338" t="n"/>
      <c r="F371" s="338" t="n"/>
      <c r="G371" s="338" t="n"/>
      <c r="H371" s="331" t="n"/>
      <c r="I371" s="262">
        <f>IFERROR(C371/C$245,0)</f>
        <v/>
      </c>
      <c r="J371" s="262">
        <f>IFERROR(D371/D$245,0)</f>
        <v/>
      </c>
      <c r="K371" s="262">
        <f>IFERROR(E371/E$245,0)</f>
        <v/>
      </c>
      <c r="L371" s="262">
        <f>IFERROR(F371/F$245,0)</f>
        <v/>
      </c>
      <c r="M371" s="262">
        <f>IFERROR(G371/G$245,0)</f>
        <v/>
      </c>
      <c r="O371" s="262">
        <f>IFERROR(D371/C371-1,0)</f>
        <v/>
      </c>
      <c r="P371" s="262">
        <f>IFERROR(E371/D371-1,0)</f>
        <v/>
      </c>
      <c r="Q371" s="262">
        <f>IFERROR(F371/E371-1,0)</f>
        <v/>
      </c>
      <c r="R371" s="262">
        <f>IFERROR(G371/F371-1,0)</f>
        <v/>
      </c>
    </row>
    <row r="372" hidden="1">
      <c r="B372" s="138" t="n"/>
      <c r="C372" s="338" t="n"/>
      <c r="D372" s="338" t="n"/>
      <c r="E372" s="338" t="n"/>
      <c r="F372" s="338" t="n"/>
      <c r="G372" s="338" t="n"/>
      <c r="H372" s="331" t="n"/>
      <c r="I372" s="262">
        <f>IFERROR(C372/C$245,0)</f>
        <v/>
      </c>
      <c r="J372" s="262">
        <f>IFERROR(D372/D$245,0)</f>
        <v/>
      </c>
      <c r="K372" s="262">
        <f>IFERROR(E372/E$245,0)</f>
        <v/>
      </c>
      <c r="L372" s="262">
        <f>IFERROR(F372/F$245,0)</f>
        <v/>
      </c>
      <c r="M372" s="262">
        <f>IFERROR(G372/G$245,0)</f>
        <v/>
      </c>
      <c r="O372" s="262">
        <f>IFERROR(D372/C372-1,0)</f>
        <v/>
      </c>
      <c r="P372" s="262">
        <f>IFERROR(E372/D372-1,0)</f>
        <v/>
      </c>
      <c r="Q372" s="262">
        <f>IFERROR(F372/E372-1,0)</f>
        <v/>
      </c>
      <c r="R372" s="262">
        <f>IFERROR(G372/F372-1,0)</f>
        <v/>
      </c>
    </row>
    <row r="373" hidden="1">
      <c r="B373" s="138" t="n"/>
      <c r="C373" s="338" t="n"/>
      <c r="D373" s="338" t="n"/>
      <c r="E373" s="338" t="n"/>
      <c r="F373" s="338" t="n"/>
      <c r="G373" s="338" t="n"/>
      <c r="H373" s="331" t="n"/>
      <c r="I373" s="262">
        <f>IFERROR(C373/C$245,0)</f>
        <v/>
      </c>
      <c r="J373" s="262">
        <f>IFERROR(D373/D$245,0)</f>
        <v/>
      </c>
      <c r="K373" s="262">
        <f>IFERROR(E373/E$245,0)</f>
        <v/>
      </c>
      <c r="L373" s="262">
        <f>IFERROR(F373/F$245,0)</f>
        <v/>
      </c>
      <c r="M373" s="262">
        <f>IFERROR(G373/G$245,0)</f>
        <v/>
      </c>
      <c r="O373" s="262">
        <f>IFERROR(D373/C373-1,0)</f>
        <v/>
      </c>
      <c r="P373" s="262">
        <f>IFERROR(E373/D373-1,0)</f>
        <v/>
      </c>
      <c r="Q373" s="262">
        <f>IFERROR(F373/E373-1,0)</f>
        <v/>
      </c>
      <c r="R373" s="262">
        <f>IFERROR(G373/F373-1,0)</f>
        <v/>
      </c>
    </row>
    <row r="374" hidden="1">
      <c r="B374" s="138" t="n"/>
      <c r="C374" s="338" t="n"/>
      <c r="D374" s="338" t="n"/>
      <c r="E374" s="338" t="n"/>
      <c r="F374" s="338" t="n"/>
      <c r="G374" s="338" t="n"/>
      <c r="H374" s="331" t="n"/>
      <c r="I374" s="262">
        <f>IFERROR(C374/C$245,0)</f>
        <v/>
      </c>
      <c r="J374" s="262">
        <f>IFERROR(D374/D$245,0)</f>
        <v/>
      </c>
      <c r="K374" s="262">
        <f>IFERROR(E374/E$245,0)</f>
        <v/>
      </c>
      <c r="L374" s="262">
        <f>IFERROR(F374/F$245,0)</f>
        <v/>
      </c>
      <c r="M374" s="262">
        <f>IFERROR(G374/G$245,0)</f>
        <v/>
      </c>
      <c r="O374" s="262">
        <f>IFERROR(D374/C374-1,0)</f>
        <v/>
      </c>
      <c r="P374" s="262">
        <f>IFERROR(E374/D374-1,0)</f>
        <v/>
      </c>
      <c r="Q374" s="262">
        <f>IFERROR(F374/E374-1,0)</f>
        <v/>
      </c>
      <c r="R374" s="262">
        <f>IFERROR(G374/F374-1,0)</f>
        <v/>
      </c>
    </row>
    <row r="375" hidden="1">
      <c r="B375" s="138" t="n"/>
      <c r="C375" s="338" t="n"/>
      <c r="D375" s="338" t="n"/>
      <c r="E375" s="338" t="n"/>
      <c r="F375" s="338" t="n"/>
      <c r="G375" s="338" t="n"/>
      <c r="H375" s="331" t="n"/>
      <c r="I375" s="262">
        <f>IFERROR(C375/C$245,0)</f>
        <v/>
      </c>
      <c r="J375" s="262">
        <f>IFERROR(D375/D$245,0)</f>
        <v/>
      </c>
      <c r="K375" s="262">
        <f>IFERROR(E375/E$245,0)</f>
        <v/>
      </c>
      <c r="L375" s="262">
        <f>IFERROR(F375/F$245,0)</f>
        <v/>
      </c>
      <c r="M375" s="262">
        <f>IFERROR(G375/G$245,0)</f>
        <v/>
      </c>
      <c r="O375" s="262">
        <f>IFERROR(D375/C375-1,0)</f>
        <v/>
      </c>
      <c r="P375" s="262">
        <f>IFERROR(E375/D375-1,0)</f>
        <v/>
      </c>
      <c r="Q375" s="262">
        <f>IFERROR(F375/E375-1,0)</f>
        <v/>
      </c>
      <c r="R375" s="262">
        <f>IFERROR(G375/F375-1,0)</f>
        <v/>
      </c>
    </row>
    <row r="376" hidden="1">
      <c r="B376" s="138" t="n"/>
      <c r="C376" s="338" t="n"/>
      <c r="D376" s="338" t="n"/>
      <c r="E376" s="338" t="n"/>
      <c r="F376" s="338" t="n"/>
      <c r="G376" s="338" t="n"/>
      <c r="H376" s="331" t="n"/>
      <c r="I376" s="262">
        <f>IFERROR(C376/C$245,0)</f>
        <v/>
      </c>
      <c r="J376" s="262">
        <f>IFERROR(D376/D$245,0)</f>
        <v/>
      </c>
      <c r="K376" s="262">
        <f>IFERROR(E376/E$245,0)</f>
        <v/>
      </c>
      <c r="L376" s="262">
        <f>IFERROR(F376/F$245,0)</f>
        <v/>
      </c>
      <c r="M376" s="262">
        <f>IFERROR(G376/G$245,0)</f>
        <v/>
      </c>
      <c r="O376" s="262">
        <f>IFERROR(D376/C376-1,0)</f>
        <v/>
      </c>
      <c r="P376" s="262">
        <f>IFERROR(E376/D376-1,0)</f>
        <v/>
      </c>
      <c r="Q376" s="262">
        <f>IFERROR(F376/E376-1,0)</f>
        <v/>
      </c>
      <c r="R376" s="262">
        <f>IFERROR(G376/F376-1,0)</f>
        <v/>
      </c>
    </row>
    <row r="377" hidden="1">
      <c r="B377" s="138" t="n"/>
      <c r="C377" s="338" t="n"/>
      <c r="D377" s="338" t="n"/>
      <c r="E377" s="338" t="n"/>
      <c r="F377" s="338" t="n"/>
      <c r="G377" s="338" t="n"/>
      <c r="H377" s="331" t="n"/>
      <c r="I377" s="262">
        <f>IFERROR(C377/C$245,0)</f>
        <v/>
      </c>
      <c r="J377" s="262">
        <f>IFERROR(D377/D$245,0)</f>
        <v/>
      </c>
      <c r="K377" s="262">
        <f>IFERROR(E377/E$245,0)</f>
        <v/>
      </c>
      <c r="L377" s="262">
        <f>IFERROR(F377/F$245,0)</f>
        <v/>
      </c>
      <c r="M377" s="262">
        <f>IFERROR(G377/G$245,0)</f>
        <v/>
      </c>
      <c r="O377" s="262">
        <f>IFERROR(D377/C377-1,0)</f>
        <v/>
      </c>
      <c r="P377" s="262">
        <f>IFERROR(E377/D377-1,0)</f>
        <v/>
      </c>
      <c r="Q377" s="262">
        <f>IFERROR(F377/E377-1,0)</f>
        <v/>
      </c>
      <c r="R377" s="262">
        <f>IFERROR(G377/F377-1,0)</f>
        <v/>
      </c>
    </row>
    <row r="378" hidden="1">
      <c r="B378" s="138" t="n"/>
      <c r="C378" s="338" t="n"/>
      <c r="D378" s="338" t="n"/>
      <c r="E378" s="338" t="n"/>
      <c r="F378" s="338" t="n"/>
      <c r="G378" s="338" t="n"/>
      <c r="H378" s="331" t="n"/>
      <c r="I378" s="262">
        <f>IFERROR(C378/C$245,0)</f>
        <v/>
      </c>
      <c r="J378" s="262">
        <f>IFERROR(D378/D$245,0)</f>
        <v/>
      </c>
      <c r="K378" s="262">
        <f>IFERROR(E378/E$245,0)</f>
        <v/>
      </c>
      <c r="L378" s="262">
        <f>IFERROR(F378/F$245,0)</f>
        <v/>
      </c>
      <c r="M378" s="262">
        <f>IFERROR(G378/G$245,0)</f>
        <v/>
      </c>
      <c r="O378" s="262">
        <f>IFERROR(D378/C378-1,0)</f>
        <v/>
      </c>
      <c r="P378" s="262">
        <f>IFERROR(E378/D378-1,0)</f>
        <v/>
      </c>
      <c r="Q378" s="262">
        <f>IFERROR(F378/E378-1,0)</f>
        <v/>
      </c>
      <c r="R378" s="262">
        <f>IFERROR(G378/F378-1,0)</f>
        <v/>
      </c>
    </row>
    <row r="379" hidden="1">
      <c r="B379" s="138" t="n"/>
      <c r="C379" s="338" t="n"/>
      <c r="D379" s="338" t="n"/>
      <c r="E379" s="338" t="n"/>
      <c r="F379" s="338" t="n"/>
      <c r="G379" s="338" t="n"/>
      <c r="H379" s="331" t="n"/>
      <c r="I379" s="262">
        <f>IFERROR(C379/C$245,0)</f>
        <v/>
      </c>
      <c r="J379" s="262">
        <f>IFERROR(D379/D$245,0)</f>
        <v/>
      </c>
      <c r="K379" s="262">
        <f>IFERROR(E379/E$245,0)</f>
        <v/>
      </c>
      <c r="L379" s="262">
        <f>IFERROR(F379/F$245,0)</f>
        <v/>
      </c>
      <c r="M379" s="262">
        <f>IFERROR(G379/G$245,0)</f>
        <v/>
      </c>
      <c r="O379" s="262">
        <f>IFERROR(D379/C379-1,0)</f>
        <v/>
      </c>
      <c r="P379" s="262">
        <f>IFERROR(E379/D379-1,0)</f>
        <v/>
      </c>
      <c r="Q379" s="262">
        <f>IFERROR(F379/E379-1,0)</f>
        <v/>
      </c>
      <c r="R379" s="262">
        <f>IFERROR(G379/F379-1,0)</f>
        <v/>
      </c>
    </row>
    <row r="380" hidden="1">
      <c r="B380" s="138" t="n"/>
      <c r="C380" s="338" t="n"/>
      <c r="D380" s="338" t="n"/>
      <c r="E380" s="338" t="n"/>
      <c r="F380" s="338" t="n"/>
      <c r="G380" s="338" t="n"/>
      <c r="H380" s="331" t="n"/>
      <c r="I380" s="262">
        <f>IFERROR(C380/C$245,0)</f>
        <v/>
      </c>
      <c r="J380" s="262">
        <f>IFERROR(D380/D$245,0)</f>
        <v/>
      </c>
      <c r="K380" s="262">
        <f>IFERROR(E380/E$245,0)</f>
        <v/>
      </c>
      <c r="L380" s="262">
        <f>IFERROR(F380/F$245,0)</f>
        <v/>
      </c>
      <c r="M380" s="262">
        <f>IFERROR(G380/G$245,0)</f>
        <v/>
      </c>
      <c r="O380" s="262">
        <f>IFERROR(D380/C380-1,0)</f>
        <v/>
      </c>
      <c r="P380" s="262">
        <f>IFERROR(E380/D380-1,0)</f>
        <v/>
      </c>
      <c r="Q380" s="262">
        <f>IFERROR(F380/E380-1,0)</f>
        <v/>
      </c>
      <c r="R380" s="262">
        <f>IFERROR(G380/F380-1,0)</f>
        <v/>
      </c>
    </row>
    <row r="381" hidden="1">
      <c r="B381" s="138" t="n"/>
      <c r="C381" s="338" t="n"/>
      <c r="D381" s="338" t="n"/>
      <c r="E381" s="338" t="n"/>
      <c r="F381" s="338" t="n"/>
      <c r="G381" s="338" t="n"/>
      <c r="H381" s="331" t="n"/>
      <c r="I381" s="262">
        <f>IFERROR(C381/C$245,0)</f>
        <v/>
      </c>
      <c r="J381" s="262">
        <f>IFERROR(D381/D$245,0)</f>
        <v/>
      </c>
      <c r="K381" s="262">
        <f>IFERROR(E381/E$245,0)</f>
        <v/>
      </c>
      <c r="L381" s="262">
        <f>IFERROR(F381/F$245,0)</f>
        <v/>
      </c>
      <c r="M381" s="262">
        <f>IFERROR(G381/G$245,0)</f>
        <v/>
      </c>
      <c r="O381" s="262">
        <f>IFERROR(D381/C381-1,0)</f>
        <v/>
      </c>
      <c r="P381" s="262">
        <f>IFERROR(E381/D381-1,0)</f>
        <v/>
      </c>
      <c r="Q381" s="262">
        <f>IFERROR(F381/E381-1,0)</f>
        <v/>
      </c>
      <c r="R381" s="262">
        <f>IFERROR(G381/F381-1,0)</f>
        <v/>
      </c>
    </row>
    <row r="382" hidden="1">
      <c r="B382" s="138" t="n"/>
      <c r="C382" s="338" t="n"/>
      <c r="D382" s="338" t="n"/>
      <c r="E382" s="338" t="n"/>
      <c r="F382" s="338" t="n"/>
      <c r="G382" s="338" t="n"/>
      <c r="H382" s="331" t="n"/>
      <c r="I382" s="262">
        <f>IFERROR(C382/C$245,0)</f>
        <v/>
      </c>
      <c r="J382" s="262">
        <f>IFERROR(D382/D$245,0)</f>
        <v/>
      </c>
      <c r="K382" s="262">
        <f>IFERROR(E382/E$245,0)</f>
        <v/>
      </c>
      <c r="L382" s="262">
        <f>IFERROR(F382/F$245,0)</f>
        <v/>
      </c>
      <c r="M382" s="262">
        <f>IFERROR(G382/G$245,0)</f>
        <v/>
      </c>
      <c r="O382" s="262">
        <f>IFERROR(D382/C382-1,0)</f>
        <v/>
      </c>
      <c r="P382" s="262">
        <f>IFERROR(E382/D382-1,0)</f>
        <v/>
      </c>
      <c r="Q382" s="262">
        <f>IFERROR(F382/E382-1,0)</f>
        <v/>
      </c>
      <c r="R382" s="262">
        <f>IFERROR(G382/F382-1,0)</f>
        <v/>
      </c>
    </row>
    <row r="383" hidden="1">
      <c r="B383" s="138" t="n"/>
      <c r="C383" s="338" t="n"/>
      <c r="D383" s="338" t="n"/>
      <c r="E383" s="338" t="n"/>
      <c r="F383" s="338" t="n"/>
      <c r="G383" s="338" t="n"/>
      <c r="H383" s="331" t="n"/>
      <c r="I383" s="262">
        <f>IFERROR(C383/C$245,0)</f>
        <v/>
      </c>
      <c r="J383" s="262">
        <f>IFERROR(D383/D$245,0)</f>
        <v/>
      </c>
      <c r="K383" s="262">
        <f>IFERROR(E383/E$245,0)</f>
        <v/>
      </c>
      <c r="L383" s="262">
        <f>IFERROR(F383/F$245,0)</f>
        <v/>
      </c>
      <c r="M383" s="262">
        <f>IFERROR(G383/G$245,0)</f>
        <v/>
      </c>
      <c r="O383" s="262">
        <f>IFERROR(D383/C383-1,0)</f>
        <v/>
      </c>
      <c r="P383" s="262">
        <f>IFERROR(E383/D383-1,0)</f>
        <v/>
      </c>
      <c r="Q383" s="262">
        <f>IFERROR(F383/E383-1,0)</f>
        <v/>
      </c>
      <c r="R383" s="262">
        <f>IFERROR(G383/F383-1,0)</f>
        <v/>
      </c>
    </row>
    <row r="384" hidden="1">
      <c r="B384" s="138" t="n"/>
      <c r="C384" s="338" t="n"/>
      <c r="D384" s="338" t="n"/>
      <c r="E384" s="338" t="n"/>
      <c r="F384" s="338" t="n"/>
      <c r="G384" s="338" t="n"/>
      <c r="H384" s="331" t="n"/>
      <c r="I384" s="262">
        <f>IFERROR(C384/C$245,0)</f>
        <v/>
      </c>
      <c r="J384" s="262">
        <f>IFERROR(D384/D$245,0)</f>
        <v/>
      </c>
      <c r="K384" s="262">
        <f>IFERROR(E384/E$245,0)</f>
        <v/>
      </c>
      <c r="L384" s="262">
        <f>IFERROR(F384/F$245,0)</f>
        <v/>
      </c>
      <c r="M384" s="262">
        <f>IFERROR(G384/G$245,0)</f>
        <v/>
      </c>
      <c r="O384" s="262">
        <f>IFERROR(D384/C384-1,0)</f>
        <v/>
      </c>
      <c r="P384" s="262">
        <f>IFERROR(E384/D384-1,0)</f>
        <v/>
      </c>
      <c r="Q384" s="262">
        <f>IFERROR(F384/E384-1,0)</f>
        <v/>
      </c>
      <c r="R384" s="262">
        <f>IFERROR(G384/F384-1,0)</f>
        <v/>
      </c>
    </row>
    <row r="385" hidden="1">
      <c r="B385" s="138" t="n"/>
      <c r="C385" s="338" t="n"/>
      <c r="D385" s="338" t="n"/>
      <c r="E385" s="338" t="n"/>
      <c r="F385" s="338" t="n"/>
      <c r="G385" s="338" t="n"/>
      <c r="H385" s="331" t="n"/>
      <c r="I385" s="262">
        <f>IFERROR(C385/C$245,0)</f>
        <v/>
      </c>
      <c r="J385" s="262">
        <f>IFERROR(D385/D$245,0)</f>
        <v/>
      </c>
      <c r="K385" s="262">
        <f>IFERROR(E385/E$245,0)</f>
        <v/>
      </c>
      <c r="L385" s="262">
        <f>IFERROR(F385/F$245,0)</f>
        <v/>
      </c>
      <c r="M385" s="262">
        <f>IFERROR(G385/G$245,0)</f>
        <v/>
      </c>
      <c r="O385" s="262">
        <f>IFERROR(D385/C385-1,0)</f>
        <v/>
      </c>
      <c r="P385" s="262">
        <f>IFERROR(E385/D385-1,0)</f>
        <v/>
      </c>
      <c r="Q385" s="262">
        <f>IFERROR(F385/E385-1,0)</f>
        <v/>
      </c>
      <c r="R385" s="262">
        <f>IFERROR(G385/F385-1,0)</f>
        <v/>
      </c>
    </row>
    <row r="386">
      <c r="B386" s="138" t="inlineStr">
        <is>
          <t>Insurance stock</t>
        </is>
      </c>
      <c r="C386" s="338" t="n"/>
      <c r="D386" s="338" t="n"/>
      <c r="E386" s="338" t="n"/>
      <c r="F386" s="338" t="n"/>
      <c r="G386" s="338" t="n"/>
      <c r="I386" s="262">
        <f>IFERROR(C386/C$245,0)</f>
        <v/>
      </c>
      <c r="J386" s="262">
        <f>IFERROR(D386/D$245,0)</f>
        <v/>
      </c>
      <c r="K386" s="262">
        <f>IFERROR(E386/E$245,0)</f>
        <v/>
      </c>
      <c r="L386" s="262">
        <f>IFERROR(F386/F$245,0)</f>
        <v/>
      </c>
      <c r="M386" s="262">
        <f>IFERROR(G386/G$245,0)</f>
        <v/>
      </c>
      <c r="O386" s="262">
        <f>IFERROR(D386/C386-1,0)</f>
        <v/>
      </c>
      <c r="P386" s="262">
        <f>IFERROR(E386/D386-1,0)</f>
        <v/>
      </c>
      <c r="Q386" s="262">
        <f>IFERROR(F386/E386-1,0)</f>
        <v/>
      </c>
      <c r="R386" s="262">
        <f>IFERROR(G386/F386-1,0)</f>
        <v/>
      </c>
    </row>
    <row r="387">
      <c r="B387" s="138" t="n"/>
      <c r="C387" s="338" t="n"/>
      <c r="D387" s="338" t="n"/>
      <c r="E387" s="338" t="n"/>
      <c r="F387" s="338" t="n"/>
      <c r="G387" s="338" t="n"/>
    </row>
    <row r="388" customFormat="1" s="360">
      <c r="A388" s="361" t="n"/>
      <c r="B388" s="257" t="inlineStr">
        <is>
          <t>Admin. expenses</t>
        </is>
      </c>
      <c r="C388" s="364">
        <f>SUM(C389:C445)</f>
        <v/>
      </c>
      <c r="D388" s="364">
        <f>SUM(D389:D445)</f>
        <v/>
      </c>
      <c r="E388" s="364">
        <f>SUM(E389:E445)</f>
        <v/>
      </c>
      <c r="F388" s="364">
        <f>SUM(F389:F445)</f>
        <v/>
      </c>
      <c r="G388" s="364">
        <f>SUM(G389:G445)</f>
        <v/>
      </c>
      <c r="H388" s="364" t="n"/>
      <c r="I388" s="267">
        <f>IFERROR(C388/C$245,0)</f>
        <v/>
      </c>
      <c r="J388" s="267">
        <f>IFERROR(D388/D$245,0)</f>
        <v/>
      </c>
      <c r="K388" s="267">
        <f>IFERROR(E388/E$245,0)</f>
        <v/>
      </c>
      <c r="L388" s="267">
        <f>IFERROR(F388/F$245,0)</f>
        <v/>
      </c>
      <c r="M388" s="267">
        <f>IFERROR(G388/G$245,0)</f>
        <v/>
      </c>
      <c r="N388" s="267" t="n"/>
      <c r="O388" s="267">
        <f>IFERROR(D388/C388-1,0)</f>
        <v/>
      </c>
      <c r="P388" s="267">
        <f>IFERROR(E388/D388-1,0)</f>
        <v/>
      </c>
      <c r="Q388" s="267">
        <f>IFERROR(F388/E388-1,0)</f>
        <v/>
      </c>
      <c r="R388" s="267">
        <f>IFERROR(G388/F388-1,0)</f>
        <v/>
      </c>
    </row>
    <row r="389">
      <c r="B389" s="249" t="inlineStr">
        <is>
          <t>Annual maintenance charges</t>
        </is>
      </c>
      <c r="C389" s="349" t="n"/>
      <c r="D389" s="349" t="n"/>
      <c r="E389" s="349" t="n"/>
      <c r="F389" s="349" t="n"/>
      <c r="G389" s="349" t="n"/>
      <c r="H389" s="110" t="n"/>
      <c r="I389" s="262">
        <f>IFERROR(C389/C$245,0)</f>
        <v/>
      </c>
      <c r="J389" s="262">
        <f>IFERROR(D389/D$245,0)</f>
        <v/>
      </c>
      <c r="K389" s="262">
        <f>IFERROR(E389/E$245,0)</f>
        <v/>
      </c>
      <c r="L389" s="262">
        <f>IFERROR(F389/F$245,0)</f>
        <v/>
      </c>
      <c r="M389" s="262">
        <f>IFERROR(G389/G$245,0)</f>
        <v/>
      </c>
      <c r="O389" s="262">
        <f>IFERROR(D389/C389-1,0)</f>
        <v/>
      </c>
      <c r="P389" s="262">
        <f>IFERROR(E389/D389-1,0)</f>
        <v/>
      </c>
      <c r="Q389" s="262">
        <f>IFERROR(F389/E389-1,0)</f>
        <v/>
      </c>
      <c r="R389" s="262">
        <f>IFERROR(G389/F389-1,0)</f>
        <v/>
      </c>
    </row>
    <row r="390">
      <c r="B390" s="122" t="inlineStr">
        <is>
          <t>Audit fees</t>
        </is>
      </c>
      <c r="C390" s="330" t="n"/>
      <c r="D390" s="330" t="n"/>
      <c r="E390" s="330" t="n"/>
      <c r="F390" s="330" t="n"/>
      <c r="G390" s="330" t="n"/>
      <c r="H390" s="110" t="n"/>
      <c r="I390" s="262">
        <f>IFERROR(C390/C$245,0)</f>
        <v/>
      </c>
      <c r="J390" s="262">
        <f>IFERROR(D390/D$245,0)</f>
        <v/>
      </c>
      <c r="K390" s="262">
        <f>IFERROR(E390/E$245,0)</f>
        <v/>
      </c>
      <c r="L390" s="262">
        <f>IFERROR(F390/F$245,0)</f>
        <v/>
      </c>
      <c r="M390" s="262">
        <f>IFERROR(G390/G$245,0)</f>
        <v/>
      </c>
      <c r="O390" s="262">
        <f>IFERROR(D390/C390-1,0)</f>
        <v/>
      </c>
      <c r="P390" s="262">
        <f>IFERROR(E390/D390-1,0)</f>
        <v/>
      </c>
      <c r="Q390" s="262">
        <f>IFERROR(F390/E390-1,0)</f>
        <v/>
      </c>
      <c r="R390" s="262">
        <f>IFERROR(G390/F390-1,0)</f>
        <v/>
      </c>
    </row>
    <row r="391">
      <c r="B391" s="122" t="inlineStr">
        <is>
          <t>Additional demand duties and taxes</t>
        </is>
      </c>
      <c r="C391" s="330" t="n"/>
      <c r="D391" s="330" t="n"/>
      <c r="E391" s="330" t="n"/>
      <c r="F391" s="330" t="n"/>
      <c r="G391" s="330" t="n"/>
      <c r="H391" s="110" t="n"/>
      <c r="I391" s="262">
        <f>IFERROR(C391/C$245,0)</f>
        <v/>
      </c>
      <c r="J391" s="262">
        <f>IFERROR(D391/D$245,0)</f>
        <v/>
      </c>
      <c r="K391" s="262">
        <f>IFERROR(E391/E$245,0)</f>
        <v/>
      </c>
      <c r="L391" s="262">
        <f>IFERROR(F391/F$245,0)</f>
        <v/>
      </c>
      <c r="M391" s="262">
        <f>IFERROR(G391/G$245,0)</f>
        <v/>
      </c>
      <c r="O391" s="262">
        <f>IFERROR(D391/C391-1,0)</f>
        <v/>
      </c>
      <c r="P391" s="262">
        <f>IFERROR(E391/D391-1,0)</f>
        <v/>
      </c>
      <c r="Q391" s="262">
        <f>IFERROR(F391/E391-1,0)</f>
        <v/>
      </c>
      <c r="R391" s="262">
        <f>IFERROR(G391/F391-1,0)</f>
        <v/>
      </c>
    </row>
    <row r="392">
      <c r="B392" s="122" t="inlineStr">
        <is>
          <t>BIS &amp; Certification charges</t>
        </is>
      </c>
      <c r="C392" s="349" t="n"/>
      <c r="D392" s="349" t="n"/>
      <c r="E392" s="349" t="n"/>
      <c r="F392" s="349" t="n"/>
      <c r="G392" s="349" t="n"/>
      <c r="H392" s="110" t="n"/>
      <c r="I392" s="262">
        <f>IFERROR(C392/C$245,0)</f>
        <v/>
      </c>
      <c r="J392" s="262">
        <f>IFERROR(D392/D$245,0)</f>
        <v/>
      </c>
      <c r="K392" s="262">
        <f>IFERROR(E392/E$245,0)</f>
        <v/>
      </c>
      <c r="L392" s="262">
        <f>IFERROR(F392/F$245,0)</f>
        <v/>
      </c>
      <c r="M392" s="262">
        <f>IFERROR(G392/G$245,0)</f>
        <v/>
      </c>
      <c r="O392" s="262">
        <f>IFERROR(D392/C392-1,0)</f>
        <v/>
      </c>
      <c r="P392" s="262">
        <f>IFERROR(E392/D392-1,0)</f>
        <v/>
      </c>
      <c r="Q392" s="262">
        <f>IFERROR(F392/E392-1,0)</f>
        <v/>
      </c>
      <c r="R392" s="262">
        <f>IFERROR(G392/F392-1,0)</f>
        <v/>
      </c>
    </row>
    <row r="393">
      <c r="B393" s="122" t="inlineStr">
        <is>
          <t>Donation</t>
        </is>
      </c>
      <c r="C393" s="349" t="n"/>
      <c r="D393" s="349" t="n"/>
      <c r="E393" s="349" t="n"/>
      <c r="F393" s="349" t="n"/>
      <c r="G393" s="349" t="n"/>
      <c r="H393" s="110" t="n"/>
      <c r="I393" s="262">
        <f>IFERROR(C393/C$245,0)</f>
        <v/>
      </c>
      <c r="J393" s="262">
        <f>IFERROR(D393/D$245,0)</f>
        <v/>
      </c>
      <c r="K393" s="262">
        <f>IFERROR(E393/E$245,0)</f>
        <v/>
      </c>
      <c r="L393" s="262">
        <f>IFERROR(F393/F$245,0)</f>
        <v/>
      </c>
      <c r="M393" s="262">
        <f>IFERROR(G393/G$245,0)</f>
        <v/>
      </c>
      <c r="O393" s="262">
        <f>IFERROR(D393/C393-1,0)</f>
        <v/>
      </c>
      <c r="P393" s="262">
        <f>IFERROR(E393/D393-1,0)</f>
        <v/>
      </c>
      <c r="Q393" s="262">
        <f>IFERROR(F393/E393-1,0)</f>
        <v/>
      </c>
      <c r="R393" s="262">
        <f>IFERROR(G393/F393-1,0)</f>
        <v/>
      </c>
    </row>
    <row r="394">
      <c r="B394" s="122" t="inlineStr">
        <is>
          <t>Electricity expenses</t>
        </is>
      </c>
      <c r="C394" s="349" t="n"/>
      <c r="D394" s="349" t="n"/>
      <c r="E394" s="349" t="n"/>
      <c r="F394" s="349" t="n"/>
      <c r="G394" s="349" t="n"/>
      <c r="H394" s="110" t="n"/>
      <c r="I394" s="262">
        <f>IFERROR(C394/C$245,0)</f>
        <v/>
      </c>
      <c r="J394" s="262">
        <f>IFERROR(D394/D$245,0)</f>
        <v/>
      </c>
      <c r="K394" s="262">
        <f>IFERROR(E394/E$245,0)</f>
        <v/>
      </c>
      <c r="L394" s="262">
        <f>IFERROR(F394/F$245,0)</f>
        <v/>
      </c>
      <c r="M394" s="262">
        <f>IFERROR(G394/G$245,0)</f>
        <v/>
      </c>
      <c r="O394" s="262">
        <f>IFERROR(D394/C394-1,0)</f>
        <v/>
      </c>
      <c r="P394" s="262">
        <f>IFERROR(E394/D394-1,0)</f>
        <v/>
      </c>
      <c r="Q394" s="262">
        <f>IFERROR(F394/E394-1,0)</f>
        <v/>
      </c>
      <c r="R394" s="262">
        <f>IFERROR(G394/F394-1,0)</f>
        <v/>
      </c>
    </row>
    <row r="395">
      <c r="B395" s="122" t="inlineStr">
        <is>
          <t>Fees &amp; taxes</t>
        </is>
      </c>
      <c r="C395" s="349" t="n"/>
      <c r="D395" s="349" t="n"/>
      <c r="E395" s="349" t="n"/>
      <c r="F395" s="349" t="n"/>
      <c r="G395" s="349" t="n"/>
      <c r="H395" s="110" t="n"/>
      <c r="I395" s="262">
        <f>IFERROR(C395/C$245,0)</f>
        <v/>
      </c>
      <c r="J395" s="262">
        <f>IFERROR(D395/D$245,0)</f>
        <v/>
      </c>
      <c r="K395" s="262">
        <f>IFERROR(E395/E$245,0)</f>
        <v/>
      </c>
      <c r="L395" s="262">
        <f>IFERROR(F395/F$245,0)</f>
        <v/>
      </c>
      <c r="M395" s="262">
        <f>IFERROR(G395/G$245,0)</f>
        <v/>
      </c>
      <c r="O395" s="262">
        <f>IFERROR(D395/C395-1,0)</f>
        <v/>
      </c>
      <c r="P395" s="262">
        <f>IFERROR(E395/D395-1,0)</f>
        <v/>
      </c>
      <c r="Q395" s="262">
        <f>IFERROR(F395/E395-1,0)</f>
        <v/>
      </c>
      <c r="R395" s="262">
        <f>IFERROR(G395/F395-1,0)</f>
        <v/>
      </c>
    </row>
    <row r="396">
      <c r="B396" s="122" t="inlineStr">
        <is>
          <t>Festival celebration expenses</t>
        </is>
      </c>
      <c r="C396" s="349" t="n"/>
      <c r="D396" s="349" t="n"/>
      <c r="E396" s="349" t="n"/>
      <c r="F396" s="349" t="n"/>
      <c r="G396" s="349" t="n"/>
      <c r="H396" s="110" t="n"/>
      <c r="I396" s="262">
        <f>IFERROR(C396/C$245,0)</f>
        <v/>
      </c>
      <c r="J396" s="262">
        <f>IFERROR(D396/D$245,0)</f>
        <v/>
      </c>
      <c r="K396" s="262">
        <f>IFERROR(E396/E$245,0)</f>
        <v/>
      </c>
      <c r="L396" s="262">
        <f>IFERROR(F396/F$245,0)</f>
        <v/>
      </c>
      <c r="M396" s="262">
        <f>IFERROR(G396/G$245,0)</f>
        <v/>
      </c>
      <c r="O396" s="262">
        <f>IFERROR(D396/C396-1,0)</f>
        <v/>
      </c>
      <c r="P396" s="262">
        <f>IFERROR(E396/D396-1,0)</f>
        <v/>
      </c>
      <c r="Q396" s="262">
        <f>IFERROR(F396/E396-1,0)</f>
        <v/>
      </c>
      <c r="R396" s="262">
        <f>IFERROR(G396/F396-1,0)</f>
        <v/>
      </c>
    </row>
    <row r="397">
      <c r="B397" s="122" t="inlineStr">
        <is>
          <t>Fine &amp; penalties</t>
        </is>
      </c>
      <c r="C397" s="349" t="n"/>
      <c r="D397" s="349" t="n"/>
      <c r="E397" s="349" t="n"/>
      <c r="F397" s="349" t="n"/>
      <c r="G397" s="349" t="n"/>
      <c r="H397" s="110" t="n"/>
      <c r="I397" s="262">
        <f>IFERROR(C397/C$245,0)</f>
        <v/>
      </c>
      <c r="J397" s="262">
        <f>IFERROR(D397/D$245,0)</f>
        <v/>
      </c>
      <c r="K397" s="262">
        <f>IFERROR(E397/E$245,0)</f>
        <v/>
      </c>
      <c r="L397" s="262">
        <f>IFERROR(F397/F$245,0)</f>
        <v/>
      </c>
      <c r="M397" s="262">
        <f>IFERROR(G397/G$245,0)</f>
        <v/>
      </c>
      <c r="O397" s="262">
        <f>IFERROR(D397/C397-1,0)</f>
        <v/>
      </c>
      <c r="P397" s="262">
        <f>IFERROR(E397/D397-1,0)</f>
        <v/>
      </c>
      <c r="Q397" s="262">
        <f>IFERROR(F397/E397-1,0)</f>
        <v/>
      </c>
      <c r="R397" s="262">
        <f>IFERROR(G397/F397-1,0)</f>
        <v/>
      </c>
    </row>
    <row r="398">
      <c r="B398" s="122" t="inlineStr">
        <is>
          <t>Insurance charges</t>
        </is>
      </c>
      <c r="H398" s="110" t="n"/>
      <c r="I398" s="262">
        <f>IFERROR(C398/C$245,0)</f>
        <v/>
      </c>
      <c r="J398" s="262">
        <f>IFERROR(D398/D$245,0)</f>
        <v/>
      </c>
      <c r="K398" s="262">
        <f>IFERROR(E398/E$245,0)</f>
        <v/>
      </c>
      <c r="L398" s="262">
        <f>IFERROR(F398/F$245,0)</f>
        <v/>
      </c>
      <c r="M398" s="262">
        <f>IFERROR(G398/G$245,0)</f>
        <v/>
      </c>
      <c r="O398" s="262">
        <f>IFERROR(D398/C398-1,0)</f>
        <v/>
      </c>
      <c r="P398" s="262">
        <f>IFERROR(E398/D398-1,0)</f>
        <v/>
      </c>
      <c r="Q398" s="262">
        <f>IFERROR(F398/E398-1,0)</f>
        <v/>
      </c>
      <c r="R398" s="262">
        <f>IFERROR(G398/F398-1,0)</f>
        <v/>
      </c>
    </row>
    <row r="399">
      <c r="B399" s="122" t="inlineStr">
        <is>
          <t xml:space="preserve">Loss on sale of fixed asset </t>
        </is>
      </c>
      <c r="H399" s="110" t="n"/>
      <c r="I399" s="262">
        <f>IFERROR(C399/C$245,0)</f>
        <v/>
      </c>
      <c r="J399" s="262">
        <f>IFERROR(D399/D$245,0)</f>
        <v/>
      </c>
      <c r="K399" s="262">
        <f>IFERROR(E399/E$245,0)</f>
        <v/>
      </c>
      <c r="L399" s="262">
        <f>IFERROR(F399/F$245,0)</f>
        <v/>
      </c>
      <c r="M399" s="262">
        <f>IFERROR(G399/G$245,0)</f>
        <v/>
      </c>
      <c r="O399" s="262">
        <f>IFERROR(D399/C399-1,0)</f>
        <v/>
      </c>
      <c r="P399" s="262">
        <f>IFERROR(E399/D399-1,0)</f>
        <v/>
      </c>
      <c r="Q399" s="262">
        <f>IFERROR(F399/E399-1,0)</f>
        <v/>
      </c>
      <c r="R399" s="262">
        <f>IFERROR(G399/F399-1,0)</f>
        <v/>
      </c>
    </row>
    <row r="400">
      <c r="B400" s="122" t="inlineStr">
        <is>
          <t>Miscellaneous expenses</t>
        </is>
      </c>
      <c r="H400" s="110" t="n"/>
      <c r="I400" s="262">
        <f>IFERROR(C400/C$245,0)</f>
        <v/>
      </c>
      <c r="J400" s="262">
        <f>IFERROR(D400/D$245,0)</f>
        <v/>
      </c>
      <c r="K400" s="262">
        <f>IFERROR(E400/E$245,0)</f>
        <v/>
      </c>
      <c r="L400" s="262">
        <f>IFERROR(F400/F$245,0)</f>
        <v/>
      </c>
      <c r="M400" s="262">
        <f>IFERROR(G400/G$245,0)</f>
        <v/>
      </c>
      <c r="O400" s="262">
        <f>IFERROR(D400/C400-1,0)</f>
        <v/>
      </c>
      <c r="P400" s="262">
        <f>IFERROR(E400/D400-1,0)</f>
        <v/>
      </c>
      <c r="Q400" s="262">
        <f>IFERROR(F400/E400-1,0)</f>
        <v/>
      </c>
      <c r="R400" s="262">
        <f>IFERROR(G400/F400-1,0)</f>
        <v/>
      </c>
    </row>
    <row r="401">
      <c r="B401" s="122" t="inlineStr">
        <is>
          <t>Office expenses</t>
        </is>
      </c>
      <c r="H401" s="110" t="n"/>
      <c r="I401" s="262">
        <f>IFERROR(C401/C$245,0)</f>
        <v/>
      </c>
      <c r="J401" s="262">
        <f>IFERROR(D401/D$245,0)</f>
        <v/>
      </c>
      <c r="K401" s="262">
        <f>IFERROR(E401/E$245,0)</f>
        <v/>
      </c>
      <c r="L401" s="262">
        <f>IFERROR(F401/F$245,0)</f>
        <v/>
      </c>
      <c r="M401" s="262">
        <f>IFERROR(G401/G$245,0)</f>
        <v/>
      </c>
      <c r="O401" s="262">
        <f>IFERROR(D401/C401-1,0)</f>
        <v/>
      </c>
      <c r="P401" s="262">
        <f>IFERROR(E401/D401-1,0)</f>
        <v/>
      </c>
      <c r="Q401" s="262">
        <f>IFERROR(F401/E401-1,0)</f>
        <v/>
      </c>
      <c r="R401" s="262">
        <f>IFERROR(G401/F401-1,0)</f>
        <v/>
      </c>
    </row>
    <row r="402">
      <c r="B402" s="122" t="inlineStr">
        <is>
          <t>Printing and stationery expenses</t>
        </is>
      </c>
      <c r="H402" s="110" t="n"/>
      <c r="I402" s="262">
        <f>IFERROR(C402/C$245,0)</f>
        <v/>
      </c>
      <c r="J402" s="262">
        <f>IFERROR(D402/D$245,0)</f>
        <v/>
      </c>
      <c r="K402" s="262">
        <f>IFERROR(E402/E$245,0)</f>
        <v/>
      </c>
      <c r="L402" s="262">
        <f>IFERROR(F402/F$245,0)</f>
        <v/>
      </c>
      <c r="M402" s="262">
        <f>IFERROR(G402/G$245,0)</f>
        <v/>
      </c>
      <c r="O402" s="262">
        <f>IFERROR(D402/C402-1,0)</f>
        <v/>
      </c>
      <c r="P402" s="262">
        <f>IFERROR(E402/D402-1,0)</f>
        <v/>
      </c>
      <c r="Q402" s="262">
        <f>IFERROR(F402/E402-1,0)</f>
        <v/>
      </c>
      <c r="R402" s="262">
        <f>IFERROR(G402/F402-1,0)</f>
        <v/>
      </c>
    </row>
    <row r="403">
      <c r="B403" s="122" t="inlineStr">
        <is>
          <t>Postage and courier expenses</t>
        </is>
      </c>
      <c r="H403" s="110" t="n"/>
      <c r="I403" s="262">
        <f>IFERROR(C403/C$245,0)</f>
        <v/>
      </c>
      <c r="J403" s="262">
        <f>IFERROR(D403/D$245,0)</f>
        <v/>
      </c>
      <c r="K403" s="262">
        <f>IFERROR(E403/E$245,0)</f>
        <v/>
      </c>
      <c r="L403" s="262">
        <f>IFERROR(F403/F$245,0)</f>
        <v/>
      </c>
      <c r="M403" s="262">
        <f>IFERROR(G403/G$245,0)</f>
        <v/>
      </c>
      <c r="O403" s="262">
        <f>IFERROR(D403/C403-1,0)</f>
        <v/>
      </c>
      <c r="P403" s="262">
        <f>IFERROR(E403/D403-1,0)</f>
        <v/>
      </c>
      <c r="Q403" s="262">
        <f>IFERROR(F403/E403-1,0)</f>
        <v/>
      </c>
      <c r="R403" s="262">
        <f>IFERROR(G403/F403-1,0)</f>
        <v/>
      </c>
    </row>
    <row r="404">
      <c r="B404" s="122" t="inlineStr">
        <is>
          <t>Professional charges</t>
        </is>
      </c>
      <c r="H404" s="110" t="n"/>
      <c r="I404" s="262">
        <f>IFERROR(C404/C$245,0)</f>
        <v/>
      </c>
      <c r="J404" s="262">
        <f>IFERROR(D404/D$245,0)</f>
        <v/>
      </c>
      <c r="K404" s="262">
        <f>IFERROR(E404/E$245,0)</f>
        <v/>
      </c>
      <c r="L404" s="262">
        <f>IFERROR(F404/F$245,0)</f>
        <v/>
      </c>
      <c r="M404" s="262">
        <f>IFERROR(G404/G$245,0)</f>
        <v/>
      </c>
      <c r="O404" s="262">
        <f>IFERROR(D404/C404-1,0)</f>
        <v/>
      </c>
      <c r="P404" s="262">
        <f>IFERROR(E404/D404-1,0)</f>
        <v/>
      </c>
      <c r="Q404" s="262">
        <f>IFERROR(F404/E404-1,0)</f>
        <v/>
      </c>
      <c r="R404" s="262">
        <f>IFERROR(G404/F404-1,0)</f>
        <v/>
      </c>
    </row>
    <row r="405">
      <c r="B405" s="122" t="inlineStr">
        <is>
          <t>Rent</t>
        </is>
      </c>
      <c r="H405" s="110" t="n"/>
      <c r="I405" s="262">
        <f>IFERROR(C405/C$245,0)</f>
        <v/>
      </c>
      <c r="J405" s="262">
        <f>IFERROR(D405/D$245,0)</f>
        <v/>
      </c>
      <c r="K405" s="262">
        <f>IFERROR(E405/E$245,0)</f>
        <v/>
      </c>
      <c r="L405" s="262">
        <f>IFERROR(F405/F$245,0)</f>
        <v/>
      </c>
      <c r="M405" s="262">
        <f>IFERROR(G405/G$245,0)</f>
        <v/>
      </c>
      <c r="O405" s="262">
        <f>IFERROR(D405/C405-1,0)</f>
        <v/>
      </c>
      <c r="P405" s="262">
        <f>IFERROR(E405/D405-1,0)</f>
        <v/>
      </c>
      <c r="Q405" s="262">
        <f>IFERROR(F405/E405-1,0)</f>
        <v/>
      </c>
      <c r="R405" s="262">
        <f>IFERROR(G405/F405-1,0)</f>
        <v/>
      </c>
    </row>
    <row r="406">
      <c r="B406" s="122" t="inlineStr">
        <is>
          <t>Repair &amp; maintenance</t>
        </is>
      </c>
      <c r="H406" s="110" t="n"/>
      <c r="I406" s="262">
        <f>IFERROR(C406/C$245,0)</f>
        <v/>
      </c>
      <c r="J406" s="262">
        <f>IFERROR(D406/D$245,0)</f>
        <v/>
      </c>
      <c r="K406" s="262">
        <f>IFERROR(E406/E$245,0)</f>
        <v/>
      </c>
      <c r="L406" s="262">
        <f>IFERROR(F406/F$245,0)</f>
        <v/>
      </c>
      <c r="M406" s="262">
        <f>IFERROR(G406/G$245,0)</f>
        <v/>
      </c>
      <c r="O406" s="262">
        <f>IFERROR(D406/C406-1,0)</f>
        <v/>
      </c>
      <c r="P406" s="262">
        <f>IFERROR(E406/D406-1,0)</f>
        <v/>
      </c>
      <c r="Q406" s="262">
        <f>IFERROR(F406/E406-1,0)</f>
        <v/>
      </c>
      <c r="R406" s="262">
        <f>IFERROR(G406/F406-1,0)</f>
        <v/>
      </c>
    </row>
    <row r="407">
      <c r="B407" s="141" t="inlineStr">
        <is>
          <t>General</t>
        </is>
      </c>
      <c r="H407" s="110" t="n"/>
      <c r="I407" s="262">
        <f>IFERROR(C407/C$245,0)</f>
        <v/>
      </c>
      <c r="J407" s="262">
        <f>IFERROR(D407/D$245,0)</f>
        <v/>
      </c>
      <c r="K407" s="262">
        <f>IFERROR(E407/E$245,0)</f>
        <v/>
      </c>
      <c r="L407" s="262">
        <f>IFERROR(F407/F$245,0)</f>
        <v/>
      </c>
      <c r="M407" s="262">
        <f>IFERROR(G407/G$245,0)</f>
        <v/>
      </c>
      <c r="O407" s="262">
        <f>IFERROR(D407/C407-1,0)</f>
        <v/>
      </c>
      <c r="P407" s="262">
        <f>IFERROR(E407/D407-1,0)</f>
        <v/>
      </c>
      <c r="Q407" s="262">
        <f>IFERROR(F407/E407-1,0)</f>
        <v/>
      </c>
      <c r="R407" s="262">
        <f>IFERROR(G407/F407-1,0)</f>
        <v/>
      </c>
    </row>
    <row r="408">
      <c r="B408" s="141" t="inlineStr">
        <is>
          <t>Buildings</t>
        </is>
      </c>
      <c r="H408" s="110" t="n"/>
      <c r="I408" s="262">
        <f>IFERROR(C408/C$245,0)</f>
        <v/>
      </c>
      <c r="J408" s="262">
        <f>IFERROR(D408/D$245,0)</f>
        <v/>
      </c>
      <c r="K408" s="262">
        <f>IFERROR(E408/E$245,0)</f>
        <v/>
      </c>
      <c r="L408" s="262">
        <f>IFERROR(F408/F$245,0)</f>
        <v/>
      </c>
      <c r="M408" s="262">
        <f>IFERROR(G408/G$245,0)</f>
        <v/>
      </c>
      <c r="O408" s="262">
        <f>IFERROR(D408/C408-1,0)</f>
        <v/>
      </c>
      <c r="P408" s="262">
        <f>IFERROR(E408/D408-1,0)</f>
        <v/>
      </c>
      <c r="Q408" s="262">
        <f>IFERROR(F408/E408-1,0)</f>
        <v/>
      </c>
      <c r="R408" s="262">
        <f>IFERROR(G408/F408-1,0)</f>
        <v/>
      </c>
    </row>
    <row r="409">
      <c r="B409" s="122" t="inlineStr">
        <is>
          <t>Software expenses</t>
        </is>
      </c>
      <c r="H409" s="110" t="n"/>
      <c r="I409" s="262">
        <f>IFERROR(C409/C$245,0)</f>
        <v/>
      </c>
      <c r="J409" s="262">
        <f>IFERROR(D409/D$245,0)</f>
        <v/>
      </c>
      <c r="K409" s="262">
        <f>IFERROR(E409/E$245,0)</f>
        <v/>
      </c>
      <c r="L409" s="262">
        <f>IFERROR(F409/F$245,0)</f>
        <v/>
      </c>
      <c r="M409" s="262">
        <f>IFERROR(G409/G$245,0)</f>
        <v/>
      </c>
      <c r="O409" s="262">
        <f>IFERROR(D409/C409-1,0)</f>
        <v/>
      </c>
      <c r="P409" s="262">
        <f>IFERROR(E409/D409-1,0)</f>
        <v/>
      </c>
      <c r="Q409" s="262">
        <f>IFERROR(F409/E409-1,0)</f>
        <v/>
      </c>
      <c r="R409" s="262">
        <f>IFERROR(G409/F409-1,0)</f>
        <v/>
      </c>
    </row>
    <row r="410">
      <c r="B410" s="122" t="inlineStr">
        <is>
          <t>Subscription/ Membership fees</t>
        </is>
      </c>
      <c r="H410" s="110" t="n"/>
      <c r="I410" s="262">
        <f>IFERROR(C410/C$245,0)</f>
        <v/>
      </c>
      <c r="J410" s="262">
        <f>IFERROR(D410/D$245,0)</f>
        <v/>
      </c>
      <c r="K410" s="262">
        <f>IFERROR(E410/E$245,0)</f>
        <v/>
      </c>
      <c r="L410" s="262">
        <f>IFERROR(F410/F$245,0)</f>
        <v/>
      </c>
      <c r="M410" s="262">
        <f>IFERROR(G410/G$245,0)</f>
        <v/>
      </c>
      <c r="O410" s="262">
        <f>IFERROR(D410/C410-1,0)</f>
        <v/>
      </c>
      <c r="P410" s="262">
        <f>IFERROR(E410/D410-1,0)</f>
        <v/>
      </c>
      <c r="Q410" s="262">
        <f>IFERROR(F410/E410-1,0)</f>
        <v/>
      </c>
      <c r="R410" s="262">
        <f>IFERROR(G410/F410-1,0)</f>
        <v/>
      </c>
    </row>
    <row r="411">
      <c r="B411" s="122" t="inlineStr">
        <is>
          <t>Stamps &amp; duties</t>
        </is>
      </c>
      <c r="H411" s="110" t="n"/>
      <c r="I411" s="262">
        <f>IFERROR(C411/C$245,0)</f>
        <v/>
      </c>
      <c r="J411" s="262">
        <f>IFERROR(D411/D$245,0)</f>
        <v/>
      </c>
      <c r="K411" s="262">
        <f>IFERROR(E411/E$245,0)</f>
        <v/>
      </c>
      <c r="L411" s="262">
        <f>IFERROR(F411/F$245,0)</f>
        <v/>
      </c>
      <c r="M411" s="262">
        <f>IFERROR(G411/G$245,0)</f>
        <v/>
      </c>
      <c r="O411" s="262">
        <f>IFERROR(D411/C411-1,0)</f>
        <v/>
      </c>
      <c r="P411" s="262">
        <f>IFERROR(E411/D411-1,0)</f>
        <v/>
      </c>
      <c r="Q411" s="262">
        <f>IFERROR(F411/E411-1,0)</f>
        <v/>
      </c>
      <c r="R411" s="262">
        <f>IFERROR(G411/F411-1,0)</f>
        <v/>
      </c>
    </row>
    <row r="412">
      <c r="B412" s="122" t="inlineStr">
        <is>
          <t>Telephone charges</t>
        </is>
      </c>
      <c r="H412" s="110" t="n"/>
      <c r="I412" s="262">
        <f>IFERROR(C412/C$245,0)</f>
        <v/>
      </c>
      <c r="J412" s="262">
        <f>IFERROR(D412/D$245,0)</f>
        <v/>
      </c>
      <c r="K412" s="262">
        <f>IFERROR(E412/E$245,0)</f>
        <v/>
      </c>
      <c r="L412" s="262">
        <f>IFERROR(F412/F$245,0)</f>
        <v/>
      </c>
      <c r="M412" s="262">
        <f>IFERROR(G412/G$245,0)</f>
        <v/>
      </c>
      <c r="O412" s="262">
        <f>IFERROR(D412/C412-1,0)</f>
        <v/>
      </c>
      <c r="P412" s="262">
        <f>IFERROR(E412/D412-1,0)</f>
        <v/>
      </c>
      <c r="Q412" s="262">
        <f>IFERROR(F412/E412-1,0)</f>
        <v/>
      </c>
      <c r="R412" s="262">
        <f>IFERROR(G412/F412-1,0)</f>
        <v/>
      </c>
    </row>
    <row r="413">
      <c r="B413" s="122" t="inlineStr">
        <is>
          <t>Travelling expenses foreign</t>
        </is>
      </c>
      <c r="H413" s="110" t="n"/>
      <c r="I413" s="262">
        <f>IFERROR(C413/C$245,0)</f>
        <v/>
      </c>
      <c r="J413" s="262">
        <f>IFERROR(D413/D$245,0)</f>
        <v/>
      </c>
      <c r="K413" s="262">
        <f>IFERROR(E413/E$245,0)</f>
        <v/>
      </c>
      <c r="L413" s="262">
        <f>IFERROR(F413/F$245,0)</f>
        <v/>
      </c>
      <c r="M413" s="262">
        <f>IFERROR(G413/G$245,0)</f>
        <v/>
      </c>
      <c r="O413" s="262">
        <f>IFERROR(D413/C413-1,0)</f>
        <v/>
      </c>
      <c r="P413" s="262">
        <f>IFERROR(E413/D413-1,0)</f>
        <v/>
      </c>
      <c r="Q413" s="262">
        <f>IFERROR(F413/E413-1,0)</f>
        <v/>
      </c>
      <c r="R413" s="262">
        <f>IFERROR(G413/F413-1,0)</f>
        <v/>
      </c>
    </row>
    <row r="414">
      <c r="B414" s="249" t="inlineStr">
        <is>
          <t>Other admin expenses</t>
        </is>
      </c>
      <c r="C414" s="349" t="n"/>
      <c r="D414" s="349" t="n"/>
      <c r="E414" s="349" t="n"/>
      <c r="F414" s="349" t="n"/>
      <c r="G414" s="349" t="n"/>
      <c r="H414" s="110" t="n"/>
      <c r="I414" s="262">
        <f>IFERROR(C414/C$245,0)</f>
        <v/>
      </c>
      <c r="J414" s="262">
        <f>IFERROR(D414/D$245,0)</f>
        <v/>
      </c>
      <c r="K414" s="262">
        <f>IFERROR(E414/E$245,0)</f>
        <v/>
      </c>
      <c r="L414" s="262">
        <f>IFERROR(F414/F$245,0)</f>
        <v/>
      </c>
      <c r="M414" s="262">
        <f>IFERROR(G414/G$245,0)</f>
        <v/>
      </c>
      <c r="O414" s="262">
        <f>IFERROR(D414/C414-1,0)</f>
        <v/>
      </c>
      <c r="P414" s="262">
        <f>IFERROR(E414/D414-1,0)</f>
        <v/>
      </c>
      <c r="Q414" s="262">
        <f>IFERROR(F414/E414-1,0)</f>
        <v/>
      </c>
      <c r="R414" s="262">
        <f>IFERROR(G414/F414-1,0)</f>
        <v/>
      </c>
    </row>
    <row r="415" hidden="1">
      <c r="B415" s="249" t="n"/>
      <c r="C415" s="349" t="n"/>
      <c r="D415" s="349" t="n"/>
      <c r="E415" s="349" t="n"/>
      <c r="F415" s="349" t="n"/>
      <c r="G415" s="349" t="n"/>
      <c r="H415" s="110" t="n"/>
      <c r="I415" s="262">
        <f>IFERROR(C415/C$245,0)</f>
        <v/>
      </c>
      <c r="J415" s="262">
        <f>IFERROR(D415/D$245,0)</f>
        <v/>
      </c>
      <c r="K415" s="262">
        <f>IFERROR(E415/E$245,0)</f>
        <v/>
      </c>
      <c r="L415" s="262">
        <f>IFERROR(F415/F$245,0)</f>
        <v/>
      </c>
      <c r="M415" s="262">
        <f>IFERROR(G415/G$245,0)</f>
        <v/>
      </c>
      <c r="O415" s="262">
        <f>IFERROR(D415/C415-1,0)</f>
        <v/>
      </c>
      <c r="P415" s="262">
        <f>IFERROR(E415/D415-1,0)</f>
        <v/>
      </c>
      <c r="Q415" s="262">
        <f>IFERROR(F415/E415-1,0)</f>
        <v/>
      </c>
      <c r="R415" s="262">
        <f>IFERROR(G415/F415-1,0)</f>
        <v/>
      </c>
    </row>
    <row r="416" hidden="1">
      <c r="B416" s="249" t="n"/>
      <c r="C416" s="349" t="n"/>
      <c r="D416" s="349" t="n"/>
      <c r="E416" s="349" t="n"/>
      <c r="F416" s="349" t="n"/>
      <c r="G416" s="349" t="n"/>
      <c r="H416" s="110" t="n"/>
      <c r="I416" s="262">
        <f>IFERROR(C416/C$245,0)</f>
        <v/>
      </c>
      <c r="J416" s="262">
        <f>IFERROR(D416/D$245,0)</f>
        <v/>
      </c>
      <c r="K416" s="262">
        <f>IFERROR(E416/E$245,0)</f>
        <v/>
      </c>
      <c r="L416" s="262">
        <f>IFERROR(F416/F$245,0)</f>
        <v/>
      </c>
      <c r="M416" s="262">
        <f>IFERROR(G416/G$245,0)</f>
        <v/>
      </c>
      <c r="O416" s="262">
        <f>IFERROR(D416/C416-1,0)</f>
        <v/>
      </c>
      <c r="P416" s="262">
        <f>IFERROR(E416/D416-1,0)</f>
        <v/>
      </c>
      <c r="Q416" s="262">
        <f>IFERROR(F416/E416-1,0)</f>
        <v/>
      </c>
      <c r="R416" s="262">
        <f>IFERROR(G416/F416-1,0)</f>
        <v/>
      </c>
    </row>
    <row r="417" hidden="1">
      <c r="B417" s="249" t="n"/>
      <c r="C417" s="349" t="n"/>
      <c r="D417" s="349" t="n"/>
      <c r="E417" s="349" t="n"/>
      <c r="F417" s="349" t="n"/>
      <c r="G417" s="349" t="n"/>
      <c r="H417" s="110" t="n"/>
      <c r="I417" s="262">
        <f>IFERROR(C417/C$245,0)</f>
        <v/>
      </c>
      <c r="J417" s="262">
        <f>IFERROR(D417/D$245,0)</f>
        <v/>
      </c>
      <c r="K417" s="262">
        <f>IFERROR(E417/E$245,0)</f>
        <v/>
      </c>
      <c r="L417" s="262">
        <f>IFERROR(F417/F$245,0)</f>
        <v/>
      </c>
      <c r="M417" s="262">
        <f>IFERROR(G417/G$245,0)</f>
        <v/>
      </c>
      <c r="O417" s="262">
        <f>IFERROR(D417/C417-1,0)</f>
        <v/>
      </c>
      <c r="P417" s="262">
        <f>IFERROR(E417/D417-1,0)</f>
        <v/>
      </c>
      <c r="Q417" s="262">
        <f>IFERROR(F417/E417-1,0)</f>
        <v/>
      </c>
      <c r="R417" s="262">
        <f>IFERROR(G417/F417-1,0)</f>
        <v/>
      </c>
    </row>
    <row r="418" hidden="1">
      <c r="B418" s="249" t="n"/>
      <c r="C418" s="349" t="n"/>
      <c r="D418" s="349" t="n"/>
      <c r="E418" s="349" t="n"/>
      <c r="F418" s="349" t="n"/>
      <c r="G418" s="349" t="n"/>
      <c r="H418" s="110" t="n"/>
      <c r="I418" s="262">
        <f>IFERROR(C418/C$245,0)</f>
        <v/>
      </c>
      <c r="J418" s="262">
        <f>IFERROR(D418/D$245,0)</f>
        <v/>
      </c>
      <c r="K418" s="262">
        <f>IFERROR(E418/E$245,0)</f>
        <v/>
      </c>
      <c r="L418" s="262">
        <f>IFERROR(F418/F$245,0)</f>
        <v/>
      </c>
      <c r="M418" s="262">
        <f>IFERROR(G418/G$245,0)</f>
        <v/>
      </c>
      <c r="O418" s="262">
        <f>IFERROR(D418/C418-1,0)</f>
        <v/>
      </c>
      <c r="P418" s="262">
        <f>IFERROR(E418/D418-1,0)</f>
        <v/>
      </c>
      <c r="Q418" s="262">
        <f>IFERROR(F418/E418-1,0)</f>
        <v/>
      </c>
      <c r="R418" s="262">
        <f>IFERROR(G418/F418-1,0)</f>
        <v/>
      </c>
    </row>
    <row r="419" hidden="1">
      <c r="B419" s="249" t="n"/>
      <c r="C419" s="349" t="n"/>
      <c r="D419" s="349" t="n"/>
      <c r="E419" s="349" t="n"/>
      <c r="F419" s="349" t="n"/>
      <c r="G419" s="349" t="n"/>
      <c r="H419" s="110" t="n"/>
      <c r="I419" s="262">
        <f>IFERROR(C419/C$245,0)</f>
        <v/>
      </c>
      <c r="J419" s="262">
        <f>IFERROR(D419/D$245,0)</f>
        <v/>
      </c>
      <c r="K419" s="262">
        <f>IFERROR(E419/E$245,0)</f>
        <v/>
      </c>
      <c r="L419" s="262">
        <f>IFERROR(F419/F$245,0)</f>
        <v/>
      </c>
      <c r="M419" s="262">
        <f>IFERROR(G419/G$245,0)</f>
        <v/>
      </c>
      <c r="O419" s="262">
        <f>IFERROR(D419/C419-1,0)</f>
        <v/>
      </c>
      <c r="P419" s="262">
        <f>IFERROR(E419/D419-1,0)</f>
        <v/>
      </c>
      <c r="Q419" s="262">
        <f>IFERROR(F419/E419-1,0)</f>
        <v/>
      </c>
      <c r="R419" s="262">
        <f>IFERROR(G419/F419-1,0)</f>
        <v/>
      </c>
    </row>
    <row r="420" hidden="1">
      <c r="B420" s="249" t="n"/>
      <c r="C420" s="349" t="n"/>
      <c r="D420" s="349" t="n"/>
      <c r="E420" s="349" t="n"/>
      <c r="F420" s="349" t="n"/>
      <c r="G420" s="349" t="n"/>
      <c r="H420" s="110" t="n"/>
      <c r="I420" s="262">
        <f>IFERROR(C420/C$245,0)</f>
        <v/>
      </c>
      <c r="J420" s="262">
        <f>IFERROR(D420/D$245,0)</f>
        <v/>
      </c>
      <c r="K420" s="262">
        <f>IFERROR(E420/E$245,0)</f>
        <v/>
      </c>
      <c r="L420" s="262">
        <f>IFERROR(F420/F$245,0)</f>
        <v/>
      </c>
      <c r="M420" s="262">
        <f>IFERROR(G420/G$245,0)</f>
        <v/>
      </c>
      <c r="O420" s="262">
        <f>IFERROR(D420/C420-1,0)</f>
        <v/>
      </c>
      <c r="P420" s="262">
        <f>IFERROR(E420/D420-1,0)</f>
        <v/>
      </c>
      <c r="Q420" s="262">
        <f>IFERROR(F420/E420-1,0)</f>
        <v/>
      </c>
      <c r="R420" s="262">
        <f>IFERROR(G420/F420-1,0)</f>
        <v/>
      </c>
    </row>
    <row r="421" hidden="1">
      <c r="B421" s="249" t="n"/>
      <c r="C421" s="349" t="n"/>
      <c r="D421" s="349" t="n"/>
      <c r="E421" s="349" t="n"/>
      <c r="F421" s="349" t="n"/>
      <c r="G421" s="349" t="n"/>
      <c r="H421" s="110" t="n"/>
      <c r="I421" s="262">
        <f>IFERROR(C421/C$245,0)</f>
        <v/>
      </c>
      <c r="J421" s="262">
        <f>IFERROR(D421/D$245,0)</f>
        <v/>
      </c>
      <c r="K421" s="262">
        <f>IFERROR(E421/E$245,0)</f>
        <v/>
      </c>
      <c r="L421" s="262">
        <f>IFERROR(F421/F$245,0)</f>
        <v/>
      </c>
      <c r="M421" s="262">
        <f>IFERROR(G421/G$245,0)</f>
        <v/>
      </c>
      <c r="O421" s="262">
        <f>IFERROR(D421/C421-1,0)</f>
        <v/>
      </c>
      <c r="P421" s="262">
        <f>IFERROR(E421/D421-1,0)</f>
        <v/>
      </c>
      <c r="Q421" s="262">
        <f>IFERROR(F421/E421-1,0)</f>
        <v/>
      </c>
      <c r="R421" s="262">
        <f>IFERROR(G421/F421-1,0)</f>
        <v/>
      </c>
    </row>
    <row r="422" hidden="1">
      <c r="B422" s="249" t="n"/>
      <c r="C422" s="349" t="n"/>
      <c r="D422" s="349" t="n"/>
      <c r="E422" s="349" t="n"/>
      <c r="F422" s="349" t="n"/>
      <c r="G422" s="349" t="n"/>
      <c r="H422" s="110" t="n"/>
      <c r="I422" s="262">
        <f>IFERROR(C422/C$245,0)</f>
        <v/>
      </c>
      <c r="J422" s="262">
        <f>IFERROR(D422/D$245,0)</f>
        <v/>
      </c>
      <c r="K422" s="262">
        <f>IFERROR(E422/E$245,0)</f>
        <v/>
      </c>
      <c r="L422" s="262">
        <f>IFERROR(F422/F$245,0)</f>
        <v/>
      </c>
      <c r="M422" s="262">
        <f>IFERROR(G422/G$245,0)</f>
        <v/>
      </c>
      <c r="O422" s="262">
        <f>IFERROR(D422/C422-1,0)</f>
        <v/>
      </c>
      <c r="P422" s="262">
        <f>IFERROR(E422/D422-1,0)</f>
        <v/>
      </c>
      <c r="Q422" s="262">
        <f>IFERROR(F422/E422-1,0)</f>
        <v/>
      </c>
      <c r="R422" s="262">
        <f>IFERROR(G422/F422-1,0)</f>
        <v/>
      </c>
    </row>
    <row r="423" hidden="1">
      <c r="B423" s="249" t="n"/>
      <c r="C423" s="349" t="n"/>
      <c r="D423" s="349" t="n"/>
      <c r="E423" s="349" t="n"/>
      <c r="F423" s="349" t="n"/>
      <c r="G423" s="349" t="n"/>
      <c r="H423" s="110" t="n"/>
      <c r="I423" s="262">
        <f>IFERROR(C423/C$245,0)</f>
        <v/>
      </c>
      <c r="J423" s="262">
        <f>IFERROR(D423/D$245,0)</f>
        <v/>
      </c>
      <c r="K423" s="262">
        <f>IFERROR(E423/E$245,0)</f>
        <v/>
      </c>
      <c r="L423" s="262">
        <f>IFERROR(F423/F$245,0)</f>
        <v/>
      </c>
      <c r="M423" s="262">
        <f>IFERROR(G423/G$245,0)</f>
        <v/>
      </c>
      <c r="O423" s="262">
        <f>IFERROR(D423/C423-1,0)</f>
        <v/>
      </c>
      <c r="P423" s="262">
        <f>IFERROR(E423/D423-1,0)</f>
        <v/>
      </c>
      <c r="Q423" s="262">
        <f>IFERROR(F423/E423-1,0)</f>
        <v/>
      </c>
      <c r="R423" s="262">
        <f>IFERROR(G423/F423-1,0)</f>
        <v/>
      </c>
    </row>
    <row r="424" hidden="1">
      <c r="B424" s="249" t="n"/>
      <c r="C424" s="349" t="n"/>
      <c r="D424" s="349" t="n"/>
      <c r="E424" s="349" t="n"/>
      <c r="F424" s="349" t="n"/>
      <c r="G424" s="349" t="n"/>
      <c r="H424" s="110" t="n"/>
      <c r="I424" s="262">
        <f>IFERROR(C424/C$245,0)</f>
        <v/>
      </c>
      <c r="J424" s="262">
        <f>IFERROR(D424/D$245,0)</f>
        <v/>
      </c>
      <c r="K424" s="262">
        <f>IFERROR(E424/E$245,0)</f>
        <v/>
      </c>
      <c r="L424" s="262">
        <f>IFERROR(F424/F$245,0)</f>
        <v/>
      </c>
      <c r="M424" s="262">
        <f>IFERROR(G424/G$245,0)</f>
        <v/>
      </c>
      <c r="O424" s="262">
        <f>IFERROR(D424/C424-1,0)</f>
        <v/>
      </c>
      <c r="P424" s="262">
        <f>IFERROR(E424/D424-1,0)</f>
        <v/>
      </c>
      <c r="Q424" s="262">
        <f>IFERROR(F424/E424-1,0)</f>
        <v/>
      </c>
      <c r="R424" s="262">
        <f>IFERROR(G424/F424-1,0)</f>
        <v/>
      </c>
    </row>
    <row r="425" hidden="1">
      <c r="B425" s="249" t="n"/>
      <c r="C425" s="349" t="n"/>
      <c r="D425" s="349" t="n"/>
      <c r="E425" s="349" t="n"/>
      <c r="F425" s="349" t="n"/>
      <c r="G425" s="349" t="n"/>
      <c r="H425" s="110" t="n"/>
      <c r="I425" s="262">
        <f>IFERROR(C425/C$245,0)</f>
        <v/>
      </c>
      <c r="J425" s="262">
        <f>IFERROR(D425/D$245,0)</f>
        <v/>
      </c>
      <c r="K425" s="262">
        <f>IFERROR(E425/E$245,0)</f>
        <v/>
      </c>
      <c r="L425" s="262">
        <f>IFERROR(F425/F$245,0)</f>
        <v/>
      </c>
      <c r="M425" s="262">
        <f>IFERROR(G425/G$245,0)</f>
        <v/>
      </c>
      <c r="O425" s="262">
        <f>IFERROR(D425/C425-1,0)</f>
        <v/>
      </c>
      <c r="P425" s="262">
        <f>IFERROR(E425/D425-1,0)</f>
        <v/>
      </c>
      <c r="Q425" s="262">
        <f>IFERROR(F425/E425-1,0)</f>
        <v/>
      </c>
      <c r="R425" s="262">
        <f>IFERROR(G425/F425-1,0)</f>
        <v/>
      </c>
    </row>
    <row r="426" hidden="1">
      <c r="B426" s="249" t="n"/>
      <c r="C426" s="349" t="n"/>
      <c r="D426" s="349" t="n"/>
      <c r="E426" s="349" t="n"/>
      <c r="F426" s="349" t="n"/>
      <c r="G426" s="349" t="n"/>
      <c r="H426" s="110" t="n"/>
      <c r="I426" s="262">
        <f>IFERROR(C426/C$245,0)</f>
        <v/>
      </c>
      <c r="J426" s="262">
        <f>IFERROR(D426/D$245,0)</f>
        <v/>
      </c>
      <c r="K426" s="262">
        <f>IFERROR(E426/E$245,0)</f>
        <v/>
      </c>
      <c r="L426" s="262">
        <f>IFERROR(F426/F$245,0)</f>
        <v/>
      </c>
      <c r="M426" s="262">
        <f>IFERROR(G426/G$245,0)</f>
        <v/>
      </c>
      <c r="O426" s="262">
        <f>IFERROR(D426/C426-1,0)</f>
        <v/>
      </c>
      <c r="P426" s="262">
        <f>IFERROR(E426/D426-1,0)</f>
        <v/>
      </c>
      <c r="Q426" s="262">
        <f>IFERROR(F426/E426-1,0)</f>
        <v/>
      </c>
      <c r="R426" s="262">
        <f>IFERROR(G426/F426-1,0)</f>
        <v/>
      </c>
    </row>
    <row r="427" hidden="1">
      <c r="B427" s="249" t="n"/>
      <c r="C427" s="349" t="n"/>
      <c r="D427" s="349" t="n"/>
      <c r="E427" s="349" t="n"/>
      <c r="F427" s="349" t="n"/>
      <c r="G427" s="349" t="n"/>
      <c r="H427" s="110" t="n"/>
      <c r="I427" s="262">
        <f>IFERROR(C427/C$245,0)</f>
        <v/>
      </c>
      <c r="J427" s="262">
        <f>IFERROR(D427/D$245,0)</f>
        <v/>
      </c>
      <c r="K427" s="262">
        <f>IFERROR(E427/E$245,0)</f>
        <v/>
      </c>
      <c r="L427" s="262">
        <f>IFERROR(F427/F$245,0)</f>
        <v/>
      </c>
      <c r="M427" s="262">
        <f>IFERROR(G427/G$245,0)</f>
        <v/>
      </c>
      <c r="O427" s="262">
        <f>IFERROR(D427/C427-1,0)</f>
        <v/>
      </c>
      <c r="P427" s="262">
        <f>IFERROR(E427/D427-1,0)</f>
        <v/>
      </c>
      <c r="Q427" s="262">
        <f>IFERROR(F427/E427-1,0)</f>
        <v/>
      </c>
      <c r="R427" s="262">
        <f>IFERROR(G427/F427-1,0)</f>
        <v/>
      </c>
    </row>
    <row r="428" hidden="1">
      <c r="B428" s="249" t="n"/>
      <c r="C428" s="349" t="n"/>
      <c r="D428" s="349" t="n"/>
      <c r="E428" s="349" t="n"/>
      <c r="F428" s="349" t="n"/>
      <c r="G428" s="349" t="n"/>
      <c r="H428" s="110" t="n"/>
      <c r="I428" s="262">
        <f>IFERROR(C428/C$245,0)</f>
        <v/>
      </c>
      <c r="J428" s="262">
        <f>IFERROR(D428/D$245,0)</f>
        <v/>
      </c>
      <c r="K428" s="262">
        <f>IFERROR(E428/E$245,0)</f>
        <v/>
      </c>
      <c r="L428" s="262">
        <f>IFERROR(F428/F$245,0)</f>
        <v/>
      </c>
      <c r="M428" s="262">
        <f>IFERROR(G428/G$245,0)</f>
        <v/>
      </c>
      <c r="O428" s="262">
        <f>IFERROR(D428/C428-1,0)</f>
        <v/>
      </c>
      <c r="P428" s="262">
        <f>IFERROR(E428/D428-1,0)</f>
        <v/>
      </c>
      <c r="Q428" s="262">
        <f>IFERROR(F428/E428-1,0)</f>
        <v/>
      </c>
      <c r="R428" s="262">
        <f>IFERROR(G428/F428-1,0)</f>
        <v/>
      </c>
    </row>
    <row r="429" hidden="1">
      <c r="B429" s="249" t="n"/>
      <c r="C429" s="349" t="n"/>
      <c r="D429" s="349" t="n"/>
      <c r="E429" s="349" t="n"/>
      <c r="F429" s="349" t="n"/>
      <c r="G429" s="349" t="n"/>
      <c r="H429" s="110" t="n"/>
      <c r="I429" s="262">
        <f>IFERROR(C429/C$245,0)</f>
        <v/>
      </c>
      <c r="J429" s="262">
        <f>IFERROR(D429/D$245,0)</f>
        <v/>
      </c>
      <c r="K429" s="262">
        <f>IFERROR(E429/E$245,0)</f>
        <v/>
      </c>
      <c r="L429" s="262">
        <f>IFERROR(F429/F$245,0)</f>
        <v/>
      </c>
      <c r="M429" s="262">
        <f>IFERROR(G429/G$245,0)</f>
        <v/>
      </c>
      <c r="O429" s="262">
        <f>IFERROR(D429/C429-1,0)</f>
        <v/>
      </c>
      <c r="P429" s="262">
        <f>IFERROR(E429/D429-1,0)</f>
        <v/>
      </c>
      <c r="Q429" s="262">
        <f>IFERROR(F429/E429-1,0)</f>
        <v/>
      </c>
      <c r="R429" s="262">
        <f>IFERROR(G429/F429-1,0)</f>
        <v/>
      </c>
    </row>
    <row r="430" hidden="1">
      <c r="B430" s="249" t="n"/>
      <c r="C430" s="349" t="n"/>
      <c r="D430" s="349" t="n"/>
      <c r="E430" s="349" t="n"/>
      <c r="F430" s="349" t="n"/>
      <c r="G430" s="349" t="n"/>
      <c r="H430" s="110" t="n"/>
      <c r="I430" s="262">
        <f>IFERROR(C430/C$245,0)</f>
        <v/>
      </c>
      <c r="J430" s="262">
        <f>IFERROR(D430/D$245,0)</f>
        <v/>
      </c>
      <c r="K430" s="262">
        <f>IFERROR(E430/E$245,0)</f>
        <v/>
      </c>
      <c r="L430" s="262">
        <f>IFERROR(F430/F$245,0)</f>
        <v/>
      </c>
      <c r="M430" s="262">
        <f>IFERROR(G430/G$245,0)</f>
        <v/>
      </c>
      <c r="O430" s="262">
        <f>IFERROR(D430/C430-1,0)</f>
        <v/>
      </c>
      <c r="P430" s="262">
        <f>IFERROR(E430/D430-1,0)</f>
        <v/>
      </c>
      <c r="Q430" s="262">
        <f>IFERROR(F430/E430-1,0)</f>
        <v/>
      </c>
      <c r="R430" s="262">
        <f>IFERROR(G430/F430-1,0)</f>
        <v/>
      </c>
    </row>
    <row r="431" hidden="1">
      <c r="B431" s="249" t="n"/>
      <c r="C431" s="349" t="n"/>
      <c r="D431" s="349" t="n"/>
      <c r="E431" s="349" t="n"/>
      <c r="F431" s="349" t="n"/>
      <c r="G431" s="349" t="n"/>
      <c r="H431" s="110" t="n"/>
      <c r="I431" s="262">
        <f>IFERROR(C431/C$245,0)</f>
        <v/>
      </c>
      <c r="J431" s="262">
        <f>IFERROR(D431/D$245,0)</f>
        <v/>
      </c>
      <c r="K431" s="262">
        <f>IFERROR(E431/E$245,0)</f>
        <v/>
      </c>
      <c r="L431" s="262">
        <f>IFERROR(F431/F$245,0)</f>
        <v/>
      </c>
      <c r="M431" s="262">
        <f>IFERROR(G431/G$245,0)</f>
        <v/>
      </c>
      <c r="O431" s="262">
        <f>IFERROR(D431/C431-1,0)</f>
        <v/>
      </c>
      <c r="P431" s="262">
        <f>IFERROR(E431/D431-1,0)</f>
        <v/>
      </c>
      <c r="Q431" s="262">
        <f>IFERROR(F431/E431-1,0)</f>
        <v/>
      </c>
      <c r="R431" s="262">
        <f>IFERROR(G431/F431-1,0)</f>
        <v/>
      </c>
    </row>
    <row r="432" hidden="1">
      <c r="B432" s="249" t="n"/>
      <c r="C432" s="349" t="n"/>
      <c r="D432" s="349" t="n"/>
      <c r="E432" s="349" t="n"/>
      <c r="F432" s="349" t="n"/>
      <c r="G432" s="349" t="n"/>
      <c r="H432" s="110" t="n"/>
      <c r="I432" s="262">
        <f>IFERROR(C432/C$245,0)</f>
        <v/>
      </c>
      <c r="J432" s="262">
        <f>IFERROR(D432/D$245,0)</f>
        <v/>
      </c>
      <c r="K432" s="262">
        <f>IFERROR(E432/E$245,0)</f>
        <v/>
      </c>
      <c r="L432" s="262">
        <f>IFERROR(F432/F$245,0)</f>
        <v/>
      </c>
      <c r="M432" s="262">
        <f>IFERROR(G432/G$245,0)</f>
        <v/>
      </c>
      <c r="O432" s="262">
        <f>IFERROR(D432/C432-1,0)</f>
        <v/>
      </c>
      <c r="P432" s="262">
        <f>IFERROR(E432/D432-1,0)</f>
        <v/>
      </c>
      <c r="Q432" s="262">
        <f>IFERROR(F432/E432-1,0)</f>
        <v/>
      </c>
      <c r="R432" s="262">
        <f>IFERROR(G432/F432-1,0)</f>
        <v/>
      </c>
    </row>
    <row r="433" hidden="1">
      <c r="B433" s="249" t="n"/>
      <c r="C433" s="349" t="n"/>
      <c r="D433" s="349" t="n"/>
      <c r="E433" s="349" t="n"/>
      <c r="F433" s="349" t="n"/>
      <c r="G433" s="349" t="n"/>
      <c r="H433" s="110" t="n"/>
      <c r="I433" s="262">
        <f>IFERROR(C433/C$245,0)</f>
        <v/>
      </c>
      <c r="J433" s="262">
        <f>IFERROR(D433/D$245,0)</f>
        <v/>
      </c>
      <c r="K433" s="262">
        <f>IFERROR(E433/E$245,0)</f>
        <v/>
      </c>
      <c r="L433" s="262">
        <f>IFERROR(F433/F$245,0)</f>
        <v/>
      </c>
      <c r="M433" s="262">
        <f>IFERROR(G433/G$245,0)</f>
        <v/>
      </c>
      <c r="O433" s="262">
        <f>IFERROR(D433/C433-1,0)</f>
        <v/>
      </c>
      <c r="P433" s="262">
        <f>IFERROR(E433/D433-1,0)</f>
        <v/>
      </c>
      <c r="Q433" s="262">
        <f>IFERROR(F433/E433-1,0)</f>
        <v/>
      </c>
      <c r="R433" s="262">
        <f>IFERROR(G433/F433-1,0)</f>
        <v/>
      </c>
    </row>
    <row r="434" hidden="1">
      <c r="B434" s="249" t="n"/>
      <c r="C434" s="349" t="n"/>
      <c r="D434" s="349" t="n"/>
      <c r="E434" s="349" t="n"/>
      <c r="F434" s="349" t="n"/>
      <c r="G434" s="349" t="n"/>
      <c r="H434" s="110" t="n"/>
      <c r="I434" s="262">
        <f>IFERROR(C434/C$245,0)</f>
        <v/>
      </c>
      <c r="J434" s="262">
        <f>IFERROR(D434/D$245,0)</f>
        <v/>
      </c>
      <c r="K434" s="262">
        <f>IFERROR(E434/E$245,0)</f>
        <v/>
      </c>
      <c r="L434" s="262">
        <f>IFERROR(F434/F$245,0)</f>
        <v/>
      </c>
      <c r="M434" s="262">
        <f>IFERROR(G434/G$245,0)</f>
        <v/>
      </c>
      <c r="O434" s="262">
        <f>IFERROR(D434/C434-1,0)</f>
        <v/>
      </c>
      <c r="P434" s="262">
        <f>IFERROR(E434/D434-1,0)</f>
        <v/>
      </c>
      <c r="Q434" s="262">
        <f>IFERROR(F434/E434-1,0)</f>
        <v/>
      </c>
      <c r="R434" s="262">
        <f>IFERROR(G434/F434-1,0)</f>
        <v/>
      </c>
    </row>
    <row r="435" hidden="1">
      <c r="B435" s="249" t="n"/>
      <c r="C435" s="349" t="n"/>
      <c r="D435" s="349" t="n"/>
      <c r="E435" s="349" t="n"/>
      <c r="F435" s="349" t="n"/>
      <c r="G435" s="349" t="n"/>
      <c r="H435" s="110" t="n"/>
      <c r="I435" s="262">
        <f>IFERROR(C435/C$245,0)</f>
        <v/>
      </c>
      <c r="J435" s="262">
        <f>IFERROR(D435/D$245,0)</f>
        <v/>
      </c>
      <c r="K435" s="262">
        <f>IFERROR(E435/E$245,0)</f>
        <v/>
      </c>
      <c r="L435" s="262">
        <f>IFERROR(F435/F$245,0)</f>
        <v/>
      </c>
      <c r="M435" s="262">
        <f>IFERROR(G435/G$245,0)</f>
        <v/>
      </c>
      <c r="O435" s="262">
        <f>IFERROR(D435/C435-1,0)</f>
        <v/>
      </c>
      <c r="P435" s="262">
        <f>IFERROR(E435/D435-1,0)</f>
        <v/>
      </c>
      <c r="Q435" s="262">
        <f>IFERROR(F435/E435-1,0)</f>
        <v/>
      </c>
      <c r="R435" s="262">
        <f>IFERROR(G435/F435-1,0)</f>
        <v/>
      </c>
    </row>
    <row r="436" hidden="1">
      <c r="B436" s="249" t="n"/>
      <c r="C436" s="349" t="n"/>
      <c r="D436" s="349" t="n"/>
      <c r="E436" s="349" t="n"/>
      <c r="F436" s="349" t="n"/>
      <c r="G436" s="349" t="n"/>
      <c r="H436" s="110" t="n"/>
      <c r="I436" s="262">
        <f>IFERROR(C436/C$245,0)</f>
        <v/>
      </c>
      <c r="J436" s="262">
        <f>IFERROR(D436/D$245,0)</f>
        <v/>
      </c>
      <c r="K436" s="262">
        <f>IFERROR(E436/E$245,0)</f>
        <v/>
      </c>
      <c r="L436" s="262">
        <f>IFERROR(F436/F$245,0)</f>
        <v/>
      </c>
      <c r="M436" s="262">
        <f>IFERROR(G436/G$245,0)</f>
        <v/>
      </c>
      <c r="O436" s="262">
        <f>IFERROR(D436/C436-1,0)</f>
        <v/>
      </c>
      <c r="P436" s="262">
        <f>IFERROR(E436/D436-1,0)</f>
        <v/>
      </c>
      <c r="Q436" s="262">
        <f>IFERROR(F436/E436-1,0)</f>
        <v/>
      </c>
      <c r="R436" s="262">
        <f>IFERROR(G436/F436-1,0)</f>
        <v/>
      </c>
    </row>
    <row r="437" hidden="1">
      <c r="B437" s="249" t="n"/>
      <c r="C437" s="349" t="n"/>
      <c r="D437" s="349" t="n"/>
      <c r="E437" s="349" t="n"/>
      <c r="F437" s="349" t="n"/>
      <c r="G437" s="349" t="n"/>
      <c r="H437" s="110" t="n"/>
      <c r="I437" s="262">
        <f>IFERROR(C437/C$245,0)</f>
        <v/>
      </c>
      <c r="J437" s="262">
        <f>IFERROR(D437/D$245,0)</f>
        <v/>
      </c>
      <c r="K437" s="262">
        <f>IFERROR(E437/E$245,0)</f>
        <v/>
      </c>
      <c r="L437" s="262">
        <f>IFERROR(F437/F$245,0)</f>
        <v/>
      </c>
      <c r="M437" s="262">
        <f>IFERROR(G437/G$245,0)</f>
        <v/>
      </c>
      <c r="O437" s="262">
        <f>IFERROR(D437/C437-1,0)</f>
        <v/>
      </c>
      <c r="P437" s="262">
        <f>IFERROR(E437/D437-1,0)</f>
        <v/>
      </c>
      <c r="Q437" s="262">
        <f>IFERROR(F437/E437-1,0)</f>
        <v/>
      </c>
      <c r="R437" s="262">
        <f>IFERROR(G437/F437-1,0)</f>
        <v/>
      </c>
    </row>
    <row r="438" hidden="1">
      <c r="B438" s="249" t="n"/>
      <c r="C438" s="349" t="n"/>
      <c r="D438" s="349" t="n"/>
      <c r="E438" s="349" t="n"/>
      <c r="F438" s="349" t="n"/>
      <c r="G438" s="349" t="n"/>
      <c r="H438" s="110" t="n"/>
      <c r="I438" s="262">
        <f>IFERROR(C438/C$245,0)</f>
        <v/>
      </c>
      <c r="J438" s="262">
        <f>IFERROR(D438/D$245,0)</f>
        <v/>
      </c>
      <c r="K438" s="262">
        <f>IFERROR(E438/E$245,0)</f>
        <v/>
      </c>
      <c r="L438" s="262">
        <f>IFERROR(F438/F$245,0)</f>
        <v/>
      </c>
      <c r="M438" s="262">
        <f>IFERROR(G438/G$245,0)</f>
        <v/>
      </c>
      <c r="O438" s="262">
        <f>IFERROR(D438/C438-1,0)</f>
        <v/>
      </c>
      <c r="P438" s="262">
        <f>IFERROR(E438/D438-1,0)</f>
        <v/>
      </c>
      <c r="Q438" s="262">
        <f>IFERROR(F438/E438-1,0)</f>
        <v/>
      </c>
      <c r="R438" s="262">
        <f>IFERROR(G438/F438-1,0)</f>
        <v/>
      </c>
    </row>
    <row r="439" hidden="1">
      <c r="B439" s="249" t="n"/>
      <c r="C439" s="349" t="n"/>
      <c r="D439" s="349" t="n"/>
      <c r="E439" s="349" t="n"/>
      <c r="F439" s="349" t="n"/>
      <c r="G439" s="349" t="n"/>
      <c r="H439" s="110" t="n"/>
      <c r="I439" s="262">
        <f>IFERROR(C439/C$245,0)</f>
        <v/>
      </c>
      <c r="J439" s="262">
        <f>IFERROR(D439/D$245,0)</f>
        <v/>
      </c>
      <c r="K439" s="262">
        <f>IFERROR(E439/E$245,0)</f>
        <v/>
      </c>
      <c r="L439" s="262">
        <f>IFERROR(F439/F$245,0)</f>
        <v/>
      </c>
      <c r="M439" s="262">
        <f>IFERROR(G439/G$245,0)</f>
        <v/>
      </c>
      <c r="O439" s="262">
        <f>IFERROR(D439/C439-1,0)</f>
        <v/>
      </c>
      <c r="P439" s="262">
        <f>IFERROR(E439/D439-1,0)</f>
        <v/>
      </c>
      <c r="Q439" s="262">
        <f>IFERROR(F439/E439-1,0)</f>
        <v/>
      </c>
      <c r="R439" s="262">
        <f>IFERROR(G439/F439-1,0)</f>
        <v/>
      </c>
    </row>
    <row r="440" hidden="1">
      <c r="B440" s="249" t="n"/>
      <c r="C440" s="349" t="n"/>
      <c r="D440" s="349" t="n"/>
      <c r="E440" s="349" t="n"/>
      <c r="F440" s="349" t="n"/>
      <c r="G440" s="349" t="n"/>
      <c r="H440" s="110" t="n"/>
      <c r="I440" s="262">
        <f>IFERROR(C440/C$245,0)</f>
        <v/>
      </c>
      <c r="J440" s="262">
        <f>IFERROR(D440/D$245,0)</f>
        <v/>
      </c>
      <c r="K440" s="262">
        <f>IFERROR(E440/E$245,0)</f>
        <v/>
      </c>
      <c r="L440" s="262">
        <f>IFERROR(F440/F$245,0)</f>
        <v/>
      </c>
      <c r="M440" s="262">
        <f>IFERROR(G440/G$245,0)</f>
        <v/>
      </c>
      <c r="O440" s="262">
        <f>IFERROR(D440/C440-1,0)</f>
        <v/>
      </c>
      <c r="P440" s="262">
        <f>IFERROR(E440/D440-1,0)</f>
        <v/>
      </c>
      <c r="Q440" s="262">
        <f>IFERROR(F440/E440-1,0)</f>
        <v/>
      </c>
      <c r="R440" s="262">
        <f>IFERROR(G440/F440-1,0)</f>
        <v/>
      </c>
    </row>
    <row r="441" hidden="1">
      <c r="B441" s="249" t="n"/>
      <c r="C441" s="349" t="n"/>
      <c r="D441" s="349" t="n"/>
      <c r="E441" s="349" t="n"/>
      <c r="F441" s="349" t="n"/>
      <c r="G441" s="349" t="n"/>
      <c r="H441" s="110" t="n"/>
      <c r="I441" s="262">
        <f>IFERROR(C441/C$245,0)</f>
        <v/>
      </c>
      <c r="J441" s="262">
        <f>IFERROR(D441/D$245,0)</f>
        <v/>
      </c>
      <c r="K441" s="262">
        <f>IFERROR(E441/E$245,0)</f>
        <v/>
      </c>
      <c r="L441" s="262">
        <f>IFERROR(F441/F$245,0)</f>
        <v/>
      </c>
      <c r="M441" s="262">
        <f>IFERROR(G441/G$245,0)</f>
        <v/>
      </c>
      <c r="O441" s="262">
        <f>IFERROR(D441/C441-1,0)</f>
        <v/>
      </c>
      <c r="P441" s="262">
        <f>IFERROR(E441/D441-1,0)</f>
        <v/>
      </c>
      <c r="Q441" s="262">
        <f>IFERROR(F441/E441-1,0)</f>
        <v/>
      </c>
      <c r="R441" s="262">
        <f>IFERROR(G441/F441-1,0)</f>
        <v/>
      </c>
    </row>
    <row r="442" hidden="1">
      <c r="B442" s="249" t="n"/>
      <c r="C442" s="349" t="n"/>
      <c r="D442" s="349" t="n"/>
      <c r="E442" s="349" t="n"/>
      <c r="F442" s="349" t="n"/>
      <c r="G442" s="349" t="n"/>
      <c r="H442" s="110" t="n"/>
      <c r="I442" s="262">
        <f>IFERROR(C442/C$245,0)</f>
        <v/>
      </c>
      <c r="J442" s="262">
        <f>IFERROR(D442/D$245,0)</f>
        <v/>
      </c>
      <c r="K442" s="262">
        <f>IFERROR(E442/E$245,0)</f>
        <v/>
      </c>
      <c r="L442" s="262">
        <f>IFERROR(F442/F$245,0)</f>
        <v/>
      </c>
      <c r="M442" s="262">
        <f>IFERROR(G442/G$245,0)</f>
        <v/>
      </c>
      <c r="O442" s="262">
        <f>IFERROR(D442/C442-1,0)</f>
        <v/>
      </c>
      <c r="P442" s="262">
        <f>IFERROR(E442/D442-1,0)</f>
        <v/>
      </c>
      <c r="Q442" s="262">
        <f>IFERROR(F442/E442-1,0)</f>
        <v/>
      </c>
      <c r="R442" s="262">
        <f>IFERROR(G442/F442-1,0)</f>
        <v/>
      </c>
    </row>
    <row r="443" hidden="1">
      <c r="B443" s="249" t="n"/>
      <c r="C443" s="349" t="n"/>
      <c r="D443" s="349" t="n"/>
      <c r="E443" s="349" t="n"/>
      <c r="F443" s="349" t="n"/>
      <c r="G443" s="349" t="n"/>
      <c r="H443" s="110" t="n"/>
      <c r="I443" s="262">
        <f>IFERROR(C443/C$245,0)</f>
        <v/>
      </c>
      <c r="J443" s="262">
        <f>IFERROR(D443/D$245,0)</f>
        <v/>
      </c>
      <c r="K443" s="262">
        <f>IFERROR(E443/E$245,0)</f>
        <v/>
      </c>
      <c r="L443" s="262">
        <f>IFERROR(F443/F$245,0)</f>
        <v/>
      </c>
      <c r="M443" s="262">
        <f>IFERROR(G443/G$245,0)</f>
        <v/>
      </c>
      <c r="O443" s="262">
        <f>IFERROR(D443/C443-1,0)</f>
        <v/>
      </c>
      <c r="P443" s="262">
        <f>IFERROR(E443/D443-1,0)</f>
        <v/>
      </c>
      <c r="Q443" s="262">
        <f>IFERROR(F443/E443-1,0)</f>
        <v/>
      </c>
      <c r="R443" s="262">
        <f>IFERROR(G443/F443-1,0)</f>
        <v/>
      </c>
    </row>
    <row r="444" hidden="1">
      <c r="B444" s="249" t="n"/>
      <c r="C444" s="349" t="n"/>
      <c r="D444" s="349" t="n"/>
      <c r="E444" s="349" t="n"/>
      <c r="F444" s="349" t="n"/>
      <c r="G444" s="349" t="n"/>
      <c r="H444" s="110" t="n"/>
      <c r="I444" s="262">
        <f>IFERROR(C444/C$245,0)</f>
        <v/>
      </c>
      <c r="J444" s="262">
        <f>IFERROR(D444/D$245,0)</f>
        <v/>
      </c>
      <c r="K444" s="262">
        <f>IFERROR(E444/E$245,0)</f>
        <v/>
      </c>
      <c r="L444" s="262">
        <f>IFERROR(F444/F$245,0)</f>
        <v/>
      </c>
      <c r="M444" s="262">
        <f>IFERROR(G444/G$245,0)</f>
        <v/>
      </c>
      <c r="O444" s="262">
        <f>IFERROR(D444/C444-1,0)</f>
        <v/>
      </c>
      <c r="P444" s="262">
        <f>IFERROR(E444/D444-1,0)</f>
        <v/>
      </c>
      <c r="Q444" s="262">
        <f>IFERROR(F444/E444-1,0)</f>
        <v/>
      </c>
      <c r="R444" s="262">
        <f>IFERROR(G444/F444-1,0)</f>
        <v/>
      </c>
    </row>
    <row r="445">
      <c r="B445" s="122" t="inlineStr">
        <is>
          <t>Vehicle running expenses</t>
        </is>
      </c>
      <c r="H445" s="110" t="n"/>
      <c r="I445" s="262">
        <f>IFERROR(C445/C$245,0)</f>
        <v/>
      </c>
      <c r="J445" s="262">
        <f>IFERROR(D445/D$245,0)</f>
        <v/>
      </c>
      <c r="K445" s="262">
        <f>IFERROR(E445/E$245,0)</f>
        <v/>
      </c>
      <c r="L445" s="262">
        <f>IFERROR(F445/F$245,0)</f>
        <v/>
      </c>
      <c r="M445" s="262">
        <f>IFERROR(G445/G$245,0)</f>
        <v/>
      </c>
      <c r="O445" s="262">
        <f>IFERROR(D445/C445-1,0)</f>
        <v/>
      </c>
      <c r="P445" s="262">
        <f>IFERROR(E445/D445-1,0)</f>
        <v/>
      </c>
      <c r="Q445" s="262">
        <f>IFERROR(F445/E445-1,0)</f>
        <v/>
      </c>
      <c r="R445" s="262">
        <f>IFERROR(G445/F445-1,0)</f>
        <v/>
      </c>
    </row>
    <row r="446">
      <c r="B446" s="122" t="n"/>
      <c r="H446" s="110" t="n"/>
    </row>
    <row r="447" customFormat="1" s="360">
      <c r="A447" s="361" t="n"/>
      <c r="B447" s="260" t="inlineStr">
        <is>
          <t>Selling and distribution expenses</t>
        </is>
      </c>
      <c r="C447" s="364">
        <f>SUM(C448:C479)</f>
        <v/>
      </c>
      <c r="D447" s="364">
        <f>SUM(D448:D479)</f>
        <v/>
      </c>
      <c r="E447" s="364">
        <f>SUM(E448:E479)</f>
        <v/>
      </c>
      <c r="F447" s="364">
        <f>SUM(F448:F479)</f>
        <v/>
      </c>
      <c r="G447" s="364">
        <f>SUM(G448:G479)</f>
        <v/>
      </c>
      <c r="H447" s="261" t="n"/>
      <c r="I447" s="267">
        <f>IFERROR(C447/C$245,0)</f>
        <v/>
      </c>
      <c r="J447" s="267">
        <f>IFERROR(D447/D$245,0)</f>
        <v/>
      </c>
      <c r="K447" s="267">
        <f>IFERROR(E447/E$245,0)</f>
        <v/>
      </c>
      <c r="L447" s="267">
        <f>IFERROR(F447/F$245,0)</f>
        <v/>
      </c>
      <c r="M447" s="267">
        <f>IFERROR(G447/G$245,0)</f>
        <v/>
      </c>
      <c r="N447" s="267" t="n"/>
      <c r="O447" s="267">
        <f>IFERROR(D447/C447-1,0)</f>
        <v/>
      </c>
      <c r="P447" s="267">
        <f>IFERROR(E447/D447-1,0)</f>
        <v/>
      </c>
      <c r="Q447" s="267">
        <f>IFERROR(F447/E447-1,0)</f>
        <v/>
      </c>
      <c r="R447" s="267">
        <f>IFERROR(G447/F447-1,0)</f>
        <v/>
      </c>
    </row>
    <row r="448">
      <c r="B448" s="122" t="inlineStr">
        <is>
          <t>Advertisement</t>
        </is>
      </c>
      <c r="H448" s="110" t="n"/>
      <c r="I448" s="262">
        <f>IFERROR(C448/C$245,0)</f>
        <v/>
      </c>
      <c r="J448" s="262">
        <f>IFERROR(D448/D$245,0)</f>
        <v/>
      </c>
      <c r="K448" s="262">
        <f>IFERROR(E448/E$245,0)</f>
        <v/>
      </c>
      <c r="L448" s="262">
        <f>IFERROR(F448/F$245,0)</f>
        <v/>
      </c>
      <c r="M448" s="262">
        <f>IFERROR(G448/G$245,0)</f>
        <v/>
      </c>
      <c r="O448" s="262">
        <f>IFERROR(D448/C448-1,0)</f>
        <v/>
      </c>
      <c r="P448" s="262">
        <f>IFERROR(E448/D448-1,0)</f>
        <v/>
      </c>
      <c r="Q448" s="262">
        <f>IFERROR(F448/E448-1,0)</f>
        <v/>
      </c>
      <c r="R448" s="262">
        <f>IFERROR(G448/F448-1,0)</f>
        <v/>
      </c>
    </row>
    <row r="449">
      <c r="B449" s="138" t="inlineStr">
        <is>
          <t>Packing expenses</t>
        </is>
      </c>
      <c r="C449" s="338" t="n"/>
      <c r="D449" s="338" t="n"/>
      <c r="E449" s="338" t="n"/>
      <c r="F449" s="338" t="n"/>
      <c r="G449" s="338" t="n"/>
      <c r="I449" s="262">
        <f>IFERROR(C449/C$245,0)</f>
        <v/>
      </c>
      <c r="J449" s="262">
        <f>IFERROR(D449/D$245,0)</f>
        <v/>
      </c>
      <c r="K449" s="262">
        <f>IFERROR(E449/E$245,0)</f>
        <v/>
      </c>
      <c r="L449" s="262">
        <f>IFERROR(F449/F$245,0)</f>
        <v/>
      </c>
      <c r="M449" s="262">
        <f>IFERROR(G449/G$245,0)</f>
        <v/>
      </c>
      <c r="O449" s="262">
        <f>IFERROR(D449/C449-1,0)</f>
        <v/>
      </c>
      <c r="P449" s="262">
        <f>IFERROR(E449/D449-1,0)</f>
        <v/>
      </c>
      <c r="Q449" s="262">
        <f>IFERROR(F449/E449-1,0)</f>
        <v/>
      </c>
      <c r="R449" s="262">
        <f>IFERROR(G449/F449-1,0)</f>
        <v/>
      </c>
    </row>
    <row r="450">
      <c r="B450" s="122" t="inlineStr">
        <is>
          <t>Business promotion</t>
        </is>
      </c>
      <c r="H450" s="110" t="n"/>
      <c r="I450" s="262">
        <f>IFERROR(C450/C$245,0)</f>
        <v/>
      </c>
      <c r="J450" s="262">
        <f>IFERROR(D450/D$245,0)</f>
        <v/>
      </c>
      <c r="K450" s="262">
        <f>IFERROR(E450/E$245,0)</f>
        <v/>
      </c>
      <c r="L450" s="262">
        <f>IFERROR(F450/F$245,0)</f>
        <v/>
      </c>
      <c r="M450" s="262">
        <f>IFERROR(G450/G$245,0)</f>
        <v/>
      </c>
      <c r="O450" s="262">
        <f>IFERROR(D450/C450-1,0)</f>
        <v/>
      </c>
      <c r="P450" s="262">
        <f>IFERROR(E450/D450-1,0)</f>
        <v/>
      </c>
      <c r="Q450" s="262">
        <f>IFERROR(F450/E450-1,0)</f>
        <v/>
      </c>
      <c r="R450" s="262">
        <f>IFERROR(G450/F450-1,0)</f>
        <v/>
      </c>
    </row>
    <row r="451">
      <c r="B451" s="122" t="inlineStr">
        <is>
          <t>Commission</t>
        </is>
      </c>
      <c r="H451" s="110" t="n"/>
      <c r="I451" s="262">
        <f>IFERROR(C451/C$245,0)</f>
        <v/>
      </c>
      <c r="J451" s="262">
        <f>IFERROR(D451/D$245,0)</f>
        <v/>
      </c>
      <c r="K451" s="262">
        <f>IFERROR(E451/E$245,0)</f>
        <v/>
      </c>
      <c r="L451" s="262">
        <f>IFERROR(F451/F$245,0)</f>
        <v/>
      </c>
      <c r="M451" s="262">
        <f>IFERROR(G451/G$245,0)</f>
        <v/>
      </c>
      <c r="O451" s="262">
        <f>IFERROR(D451/C451-1,0)</f>
        <v/>
      </c>
      <c r="P451" s="262">
        <f>IFERROR(E451/D451-1,0)</f>
        <v/>
      </c>
      <c r="Q451" s="262">
        <f>IFERROR(F451/E451-1,0)</f>
        <v/>
      </c>
      <c r="R451" s="262">
        <f>IFERROR(G451/F451-1,0)</f>
        <v/>
      </c>
    </row>
    <row r="452">
      <c r="B452" s="122" t="inlineStr">
        <is>
          <t xml:space="preserve">Conference </t>
        </is>
      </c>
      <c r="H452" s="110" t="n"/>
      <c r="I452" s="262">
        <f>IFERROR(C452/C$245,0)</f>
        <v/>
      </c>
      <c r="J452" s="262">
        <f>IFERROR(D452/D$245,0)</f>
        <v/>
      </c>
      <c r="K452" s="262">
        <f>IFERROR(E452/E$245,0)</f>
        <v/>
      </c>
      <c r="L452" s="262">
        <f>IFERROR(F452/F$245,0)</f>
        <v/>
      </c>
      <c r="M452" s="262">
        <f>IFERROR(G452/G$245,0)</f>
        <v/>
      </c>
      <c r="O452" s="262">
        <f>IFERROR(D452/C452-1,0)</f>
        <v/>
      </c>
      <c r="P452" s="262">
        <f>IFERROR(E452/D452-1,0)</f>
        <v/>
      </c>
      <c r="Q452" s="262">
        <f>IFERROR(F452/E452-1,0)</f>
        <v/>
      </c>
      <c r="R452" s="262">
        <f>IFERROR(G452/F452-1,0)</f>
        <v/>
      </c>
    </row>
    <row r="453">
      <c r="B453" s="122" t="inlineStr">
        <is>
          <t>E-commerce support service</t>
        </is>
      </c>
      <c r="H453" s="110" t="n"/>
      <c r="I453" s="262">
        <f>IFERROR(C453/C$245,0)</f>
        <v/>
      </c>
      <c r="J453" s="262">
        <f>IFERROR(D453/D$245,0)</f>
        <v/>
      </c>
      <c r="K453" s="262">
        <f>IFERROR(E453/E$245,0)</f>
        <v/>
      </c>
      <c r="L453" s="262">
        <f>IFERROR(F453/F$245,0)</f>
        <v/>
      </c>
      <c r="M453" s="262">
        <f>IFERROR(G453/G$245,0)</f>
        <v/>
      </c>
      <c r="O453" s="262">
        <f>IFERROR(D453/C453-1,0)</f>
        <v/>
      </c>
      <c r="P453" s="262">
        <f>IFERROR(E453/D453-1,0)</f>
        <v/>
      </c>
      <c r="Q453" s="262">
        <f>IFERROR(F453/E453-1,0)</f>
        <v/>
      </c>
      <c r="R453" s="262">
        <f>IFERROR(G453/F453-1,0)</f>
        <v/>
      </c>
    </row>
    <row r="454">
      <c r="B454" s="122" t="inlineStr">
        <is>
          <t>Freight &amp; cartage (outward)</t>
        </is>
      </c>
      <c r="H454" s="110" t="n"/>
      <c r="I454" s="262">
        <f>IFERROR(C454/C$245,0)</f>
        <v/>
      </c>
      <c r="J454" s="262">
        <f>IFERROR(D454/D$245,0)</f>
        <v/>
      </c>
      <c r="K454" s="262">
        <f>IFERROR(E454/E$245,0)</f>
        <v/>
      </c>
      <c r="L454" s="262">
        <f>IFERROR(F454/F$245,0)</f>
        <v/>
      </c>
      <c r="M454" s="262">
        <f>IFERROR(G454/G$245,0)</f>
        <v/>
      </c>
      <c r="O454" s="262">
        <f>IFERROR(D454/C454-1,0)</f>
        <v/>
      </c>
      <c r="P454" s="262">
        <f>IFERROR(E454/D454-1,0)</f>
        <v/>
      </c>
      <c r="Q454" s="262">
        <f>IFERROR(F454/E454-1,0)</f>
        <v/>
      </c>
      <c r="R454" s="262">
        <f>IFERROR(G454/F454-1,0)</f>
        <v/>
      </c>
    </row>
    <row r="455">
      <c r="B455" s="122" t="inlineStr">
        <is>
          <t>Marketing staff conveyance expenses</t>
        </is>
      </c>
      <c r="H455" s="110" t="n"/>
      <c r="I455" s="262">
        <f>IFERROR(C455/C$245,0)</f>
        <v/>
      </c>
      <c r="J455" s="262">
        <f>IFERROR(D455/D$245,0)</f>
        <v/>
      </c>
      <c r="K455" s="262">
        <f>IFERROR(E455/E$245,0)</f>
        <v/>
      </c>
      <c r="L455" s="262">
        <f>IFERROR(F455/F$245,0)</f>
        <v/>
      </c>
      <c r="M455" s="262">
        <f>IFERROR(G455/G$245,0)</f>
        <v/>
      </c>
      <c r="O455" s="262">
        <f>IFERROR(D455/C455-1,0)</f>
        <v/>
      </c>
      <c r="P455" s="262">
        <f>IFERROR(E455/D455-1,0)</f>
        <v/>
      </c>
      <c r="Q455" s="262">
        <f>IFERROR(F455/E455-1,0)</f>
        <v/>
      </c>
      <c r="R455" s="262">
        <f>IFERROR(G455/F455-1,0)</f>
        <v/>
      </c>
    </row>
    <row r="456">
      <c r="B456" s="122" t="inlineStr">
        <is>
          <t xml:space="preserve">Schemes and samples </t>
        </is>
      </c>
      <c r="H456" s="110" t="n"/>
      <c r="I456" s="262">
        <f>IFERROR(C456/C$245,0)</f>
        <v/>
      </c>
      <c r="J456" s="262">
        <f>IFERROR(D456/D$245,0)</f>
        <v/>
      </c>
      <c r="K456" s="262">
        <f>IFERROR(E456/E$245,0)</f>
        <v/>
      </c>
      <c r="L456" s="262">
        <f>IFERROR(F456/F$245,0)</f>
        <v/>
      </c>
      <c r="M456" s="262">
        <f>IFERROR(G456/G$245,0)</f>
        <v/>
      </c>
      <c r="O456" s="262">
        <f>IFERROR(D456/C456-1,0)</f>
        <v/>
      </c>
      <c r="P456" s="262">
        <f>IFERROR(E456/D456-1,0)</f>
        <v/>
      </c>
      <c r="Q456" s="262">
        <f>IFERROR(F456/E456-1,0)</f>
        <v/>
      </c>
      <c r="R456" s="262">
        <f>IFERROR(G456/F456-1,0)</f>
        <v/>
      </c>
    </row>
    <row r="457">
      <c r="B457" s="122" t="inlineStr">
        <is>
          <t>DR/CR Amt. w/o</t>
        </is>
      </c>
      <c r="H457" s="110" t="n"/>
      <c r="I457" s="262">
        <f>IFERROR(C457/C$245,0)</f>
        <v/>
      </c>
      <c r="J457" s="262">
        <f>IFERROR(D457/D$245,0)</f>
        <v/>
      </c>
      <c r="K457" s="262">
        <f>IFERROR(E457/E$245,0)</f>
        <v/>
      </c>
      <c r="L457" s="262">
        <f>IFERROR(F457/F$245,0)</f>
        <v/>
      </c>
      <c r="M457" s="262">
        <f>IFERROR(G457/G$245,0)</f>
        <v/>
      </c>
      <c r="O457" s="262">
        <f>IFERROR(D457/C457-1,0)</f>
        <v/>
      </c>
      <c r="P457" s="262">
        <f>IFERROR(E457/D457-1,0)</f>
        <v/>
      </c>
      <c r="Q457" s="262">
        <f>IFERROR(F457/E457-1,0)</f>
        <v/>
      </c>
      <c r="R457" s="262">
        <f>IFERROR(G457/F457-1,0)</f>
        <v/>
      </c>
    </row>
    <row r="458">
      <c r="B458" s="122" t="inlineStr">
        <is>
          <t>Travelling exp. within India</t>
        </is>
      </c>
      <c r="H458" s="110" t="n"/>
      <c r="I458" s="262">
        <f>IFERROR(C458/C$245,0)</f>
        <v/>
      </c>
      <c r="J458" s="262">
        <f>IFERROR(D458/D$245,0)</f>
        <v/>
      </c>
      <c r="K458" s="262">
        <f>IFERROR(E458/E$245,0)</f>
        <v/>
      </c>
      <c r="L458" s="262">
        <f>IFERROR(F458/F$245,0)</f>
        <v/>
      </c>
      <c r="M458" s="262">
        <f>IFERROR(G458/G$245,0)</f>
        <v/>
      </c>
      <c r="O458" s="262">
        <f>IFERROR(D458/C458-1,0)</f>
        <v/>
      </c>
      <c r="P458" s="262">
        <f>IFERROR(E458/D458-1,0)</f>
        <v/>
      </c>
      <c r="Q458" s="262">
        <f>IFERROR(F458/E458-1,0)</f>
        <v/>
      </c>
      <c r="R458" s="262">
        <f>IFERROR(G458/F458-1,0)</f>
        <v/>
      </c>
    </row>
    <row r="459" hidden="1">
      <c r="B459" s="122" t="n"/>
      <c r="H459" s="110" t="n"/>
      <c r="I459" s="262">
        <f>IFERROR(C459/C$245,0)</f>
        <v/>
      </c>
      <c r="J459" s="262">
        <f>IFERROR(D459/D$245,0)</f>
        <v/>
      </c>
      <c r="K459" s="262">
        <f>IFERROR(E459/E$245,0)</f>
        <v/>
      </c>
      <c r="L459" s="262">
        <f>IFERROR(F459/F$245,0)</f>
        <v/>
      </c>
      <c r="M459" s="262">
        <f>IFERROR(G459/G$245,0)</f>
        <v/>
      </c>
      <c r="O459" s="262">
        <f>IFERROR(D459/C459-1,0)</f>
        <v/>
      </c>
      <c r="P459" s="262">
        <f>IFERROR(E459/D459-1,0)</f>
        <v/>
      </c>
      <c r="Q459" s="262">
        <f>IFERROR(F459/E459-1,0)</f>
        <v/>
      </c>
      <c r="R459" s="262">
        <f>IFERROR(G459/F459-1,0)</f>
        <v/>
      </c>
    </row>
    <row r="460" hidden="1">
      <c r="B460" s="122" t="n"/>
      <c r="H460" s="110" t="n"/>
      <c r="I460" s="262">
        <f>IFERROR(C460/C$245,0)</f>
        <v/>
      </c>
      <c r="J460" s="262">
        <f>IFERROR(D460/D$245,0)</f>
        <v/>
      </c>
      <c r="K460" s="262">
        <f>IFERROR(E460/E$245,0)</f>
        <v/>
      </c>
      <c r="L460" s="262">
        <f>IFERROR(F460/F$245,0)</f>
        <v/>
      </c>
      <c r="M460" s="262">
        <f>IFERROR(G460/G$245,0)</f>
        <v/>
      </c>
      <c r="O460" s="262">
        <f>IFERROR(D460/C460-1,0)</f>
        <v/>
      </c>
      <c r="P460" s="262">
        <f>IFERROR(E460/D460-1,0)</f>
        <v/>
      </c>
      <c r="Q460" s="262">
        <f>IFERROR(F460/E460-1,0)</f>
        <v/>
      </c>
      <c r="R460" s="262">
        <f>IFERROR(G460/F460-1,0)</f>
        <v/>
      </c>
    </row>
    <row r="461" hidden="1">
      <c r="B461" s="122" t="n"/>
      <c r="H461" s="110" t="n"/>
      <c r="I461" s="262">
        <f>IFERROR(C461/C$245,0)</f>
        <v/>
      </c>
      <c r="J461" s="262">
        <f>IFERROR(D461/D$245,0)</f>
        <v/>
      </c>
      <c r="K461" s="262">
        <f>IFERROR(E461/E$245,0)</f>
        <v/>
      </c>
      <c r="L461" s="262">
        <f>IFERROR(F461/F$245,0)</f>
        <v/>
      </c>
      <c r="M461" s="262">
        <f>IFERROR(G461/G$245,0)</f>
        <v/>
      </c>
      <c r="O461" s="262">
        <f>IFERROR(D461/C461-1,0)</f>
        <v/>
      </c>
      <c r="P461" s="262">
        <f>IFERROR(E461/D461-1,0)</f>
        <v/>
      </c>
      <c r="Q461" s="262">
        <f>IFERROR(F461/E461-1,0)</f>
        <v/>
      </c>
      <c r="R461" s="262">
        <f>IFERROR(G461/F461-1,0)</f>
        <v/>
      </c>
    </row>
    <row r="462" hidden="1">
      <c r="B462" s="122" t="n"/>
      <c r="H462" s="110" t="n"/>
      <c r="I462" s="262">
        <f>IFERROR(C462/C$245,0)</f>
        <v/>
      </c>
      <c r="J462" s="262">
        <f>IFERROR(D462/D$245,0)</f>
        <v/>
      </c>
      <c r="K462" s="262">
        <f>IFERROR(E462/E$245,0)</f>
        <v/>
      </c>
      <c r="L462" s="262">
        <f>IFERROR(F462/F$245,0)</f>
        <v/>
      </c>
      <c r="M462" s="262">
        <f>IFERROR(G462/G$245,0)</f>
        <v/>
      </c>
      <c r="O462" s="262">
        <f>IFERROR(D462/C462-1,0)</f>
        <v/>
      </c>
      <c r="P462" s="262">
        <f>IFERROR(E462/D462-1,0)</f>
        <v/>
      </c>
      <c r="Q462" s="262">
        <f>IFERROR(F462/E462-1,0)</f>
        <v/>
      </c>
      <c r="R462" s="262">
        <f>IFERROR(G462/F462-1,0)</f>
        <v/>
      </c>
    </row>
    <row r="463" hidden="1">
      <c r="B463" s="122" t="n"/>
      <c r="H463" s="110" t="n"/>
      <c r="I463" s="262">
        <f>IFERROR(C463/C$245,0)</f>
        <v/>
      </c>
      <c r="J463" s="262">
        <f>IFERROR(D463/D$245,0)</f>
        <v/>
      </c>
      <c r="K463" s="262">
        <f>IFERROR(E463/E$245,0)</f>
        <v/>
      </c>
      <c r="L463" s="262">
        <f>IFERROR(F463/F$245,0)</f>
        <v/>
      </c>
      <c r="M463" s="262">
        <f>IFERROR(G463/G$245,0)</f>
        <v/>
      </c>
      <c r="O463" s="262">
        <f>IFERROR(D463/C463-1,0)</f>
        <v/>
      </c>
      <c r="P463" s="262">
        <f>IFERROR(E463/D463-1,0)</f>
        <v/>
      </c>
      <c r="Q463" s="262">
        <f>IFERROR(F463/E463-1,0)</f>
        <v/>
      </c>
      <c r="R463" s="262">
        <f>IFERROR(G463/F463-1,0)</f>
        <v/>
      </c>
    </row>
    <row r="464" hidden="1">
      <c r="B464" s="122" t="n"/>
      <c r="H464" s="110" t="n"/>
      <c r="I464" s="262">
        <f>IFERROR(C464/C$245,0)</f>
        <v/>
      </c>
      <c r="J464" s="262">
        <f>IFERROR(D464/D$245,0)</f>
        <v/>
      </c>
      <c r="K464" s="262">
        <f>IFERROR(E464/E$245,0)</f>
        <v/>
      </c>
      <c r="L464" s="262">
        <f>IFERROR(F464/F$245,0)</f>
        <v/>
      </c>
      <c r="M464" s="262">
        <f>IFERROR(G464/G$245,0)</f>
        <v/>
      </c>
      <c r="O464" s="262">
        <f>IFERROR(D464/C464-1,0)</f>
        <v/>
      </c>
      <c r="P464" s="262">
        <f>IFERROR(E464/D464-1,0)</f>
        <v/>
      </c>
      <c r="Q464" s="262">
        <f>IFERROR(F464/E464-1,0)</f>
        <v/>
      </c>
      <c r="R464" s="262">
        <f>IFERROR(G464/F464-1,0)</f>
        <v/>
      </c>
    </row>
    <row r="465" hidden="1">
      <c r="B465" s="122" t="n"/>
      <c r="H465" s="110" t="n"/>
      <c r="I465" s="262">
        <f>IFERROR(C465/C$245,0)</f>
        <v/>
      </c>
      <c r="J465" s="262">
        <f>IFERROR(D465/D$245,0)</f>
        <v/>
      </c>
      <c r="K465" s="262">
        <f>IFERROR(E465/E$245,0)</f>
        <v/>
      </c>
      <c r="L465" s="262">
        <f>IFERROR(F465/F$245,0)</f>
        <v/>
      </c>
      <c r="M465" s="262">
        <f>IFERROR(G465/G$245,0)</f>
        <v/>
      </c>
      <c r="O465" s="262">
        <f>IFERROR(D465/C465-1,0)</f>
        <v/>
      </c>
      <c r="P465" s="262">
        <f>IFERROR(E465/D465-1,0)</f>
        <v/>
      </c>
      <c r="Q465" s="262">
        <f>IFERROR(F465/E465-1,0)</f>
        <v/>
      </c>
      <c r="R465" s="262">
        <f>IFERROR(G465/F465-1,0)</f>
        <v/>
      </c>
    </row>
    <row r="466" hidden="1">
      <c r="B466" s="122" t="n"/>
      <c r="H466" s="110" t="n"/>
      <c r="I466" s="262">
        <f>IFERROR(C466/C$245,0)</f>
        <v/>
      </c>
      <c r="J466" s="262">
        <f>IFERROR(D466/D$245,0)</f>
        <v/>
      </c>
      <c r="K466" s="262">
        <f>IFERROR(E466/E$245,0)</f>
        <v/>
      </c>
      <c r="L466" s="262">
        <f>IFERROR(F466/F$245,0)</f>
        <v/>
      </c>
      <c r="M466" s="262">
        <f>IFERROR(G466/G$245,0)</f>
        <v/>
      </c>
      <c r="O466" s="262">
        <f>IFERROR(D466/C466-1,0)</f>
        <v/>
      </c>
      <c r="P466" s="262">
        <f>IFERROR(E466/D466-1,0)</f>
        <v/>
      </c>
      <c r="Q466" s="262">
        <f>IFERROR(F466/E466-1,0)</f>
        <v/>
      </c>
      <c r="R466" s="262">
        <f>IFERROR(G466/F466-1,0)</f>
        <v/>
      </c>
    </row>
    <row r="467" hidden="1">
      <c r="B467" s="122" t="n"/>
      <c r="H467" s="110" t="n"/>
      <c r="I467" s="262">
        <f>IFERROR(C467/C$245,0)</f>
        <v/>
      </c>
      <c r="J467" s="262">
        <f>IFERROR(D467/D$245,0)</f>
        <v/>
      </c>
      <c r="K467" s="262">
        <f>IFERROR(E467/E$245,0)</f>
        <v/>
      </c>
      <c r="L467" s="262">
        <f>IFERROR(F467/F$245,0)</f>
        <v/>
      </c>
      <c r="M467" s="262">
        <f>IFERROR(G467/G$245,0)</f>
        <v/>
      </c>
      <c r="O467" s="262">
        <f>IFERROR(D467/C467-1,0)</f>
        <v/>
      </c>
      <c r="P467" s="262">
        <f>IFERROR(E467/D467-1,0)</f>
        <v/>
      </c>
      <c r="Q467" s="262">
        <f>IFERROR(F467/E467-1,0)</f>
        <v/>
      </c>
      <c r="R467" s="262">
        <f>IFERROR(G467/F467-1,0)</f>
        <v/>
      </c>
    </row>
    <row r="468" hidden="1">
      <c r="B468" s="122" t="n"/>
      <c r="H468" s="110" t="n"/>
      <c r="I468" s="262">
        <f>IFERROR(C468/C$245,0)</f>
        <v/>
      </c>
      <c r="J468" s="262">
        <f>IFERROR(D468/D$245,0)</f>
        <v/>
      </c>
      <c r="K468" s="262">
        <f>IFERROR(E468/E$245,0)</f>
        <v/>
      </c>
      <c r="L468" s="262">
        <f>IFERROR(F468/F$245,0)</f>
        <v/>
      </c>
      <c r="M468" s="262">
        <f>IFERROR(G468/G$245,0)</f>
        <v/>
      </c>
      <c r="O468" s="262">
        <f>IFERROR(D468/C468-1,0)</f>
        <v/>
      </c>
      <c r="P468" s="262">
        <f>IFERROR(E468/D468-1,0)</f>
        <v/>
      </c>
      <c r="Q468" s="262">
        <f>IFERROR(F468/E468-1,0)</f>
        <v/>
      </c>
      <c r="R468" s="262">
        <f>IFERROR(G468/F468-1,0)</f>
        <v/>
      </c>
    </row>
    <row r="469" hidden="1">
      <c r="B469" s="122" t="n"/>
      <c r="H469" s="110" t="n"/>
      <c r="I469" s="262">
        <f>IFERROR(C469/C$245,0)</f>
        <v/>
      </c>
      <c r="J469" s="262">
        <f>IFERROR(D469/D$245,0)</f>
        <v/>
      </c>
      <c r="K469" s="262">
        <f>IFERROR(E469/E$245,0)</f>
        <v/>
      </c>
      <c r="L469" s="262">
        <f>IFERROR(F469/F$245,0)</f>
        <v/>
      </c>
      <c r="M469" s="262">
        <f>IFERROR(G469/G$245,0)</f>
        <v/>
      </c>
      <c r="O469" s="262">
        <f>IFERROR(D469/C469-1,0)</f>
        <v/>
      </c>
      <c r="P469" s="262">
        <f>IFERROR(E469/D469-1,0)</f>
        <v/>
      </c>
      <c r="Q469" s="262">
        <f>IFERROR(F469/E469-1,0)</f>
        <v/>
      </c>
      <c r="R469" s="262">
        <f>IFERROR(G469/F469-1,0)</f>
        <v/>
      </c>
    </row>
    <row r="470" hidden="1">
      <c r="B470" s="122" t="n"/>
      <c r="H470" s="110" t="n"/>
      <c r="I470" s="262">
        <f>IFERROR(C470/C$245,0)</f>
        <v/>
      </c>
      <c r="J470" s="262">
        <f>IFERROR(D470/D$245,0)</f>
        <v/>
      </c>
      <c r="K470" s="262">
        <f>IFERROR(E470/E$245,0)</f>
        <v/>
      </c>
      <c r="L470" s="262">
        <f>IFERROR(F470/F$245,0)</f>
        <v/>
      </c>
      <c r="M470" s="262">
        <f>IFERROR(G470/G$245,0)</f>
        <v/>
      </c>
      <c r="O470" s="262">
        <f>IFERROR(D470/C470-1,0)</f>
        <v/>
      </c>
      <c r="P470" s="262">
        <f>IFERROR(E470/D470-1,0)</f>
        <v/>
      </c>
      <c r="Q470" s="262">
        <f>IFERROR(F470/E470-1,0)</f>
        <v/>
      </c>
      <c r="R470" s="262">
        <f>IFERROR(G470/F470-1,0)</f>
        <v/>
      </c>
    </row>
    <row r="471" hidden="1">
      <c r="B471" s="122" t="n"/>
      <c r="H471" s="110" t="n"/>
      <c r="I471" s="262">
        <f>IFERROR(C471/C$245,0)</f>
        <v/>
      </c>
      <c r="J471" s="262">
        <f>IFERROR(D471/D$245,0)</f>
        <v/>
      </c>
      <c r="K471" s="262">
        <f>IFERROR(E471/E$245,0)</f>
        <v/>
      </c>
      <c r="L471" s="262">
        <f>IFERROR(F471/F$245,0)</f>
        <v/>
      </c>
      <c r="M471" s="262">
        <f>IFERROR(G471/G$245,0)</f>
        <v/>
      </c>
      <c r="O471" s="262">
        <f>IFERROR(D471/C471-1,0)</f>
        <v/>
      </c>
      <c r="P471" s="262">
        <f>IFERROR(E471/D471-1,0)</f>
        <v/>
      </c>
      <c r="Q471" s="262">
        <f>IFERROR(F471/E471-1,0)</f>
        <v/>
      </c>
      <c r="R471" s="262">
        <f>IFERROR(G471/F471-1,0)</f>
        <v/>
      </c>
    </row>
    <row r="472" hidden="1">
      <c r="B472" s="122" t="n"/>
      <c r="H472" s="110" t="n"/>
      <c r="I472" s="262">
        <f>IFERROR(C472/C$245,0)</f>
        <v/>
      </c>
      <c r="J472" s="262">
        <f>IFERROR(D472/D$245,0)</f>
        <v/>
      </c>
      <c r="K472" s="262">
        <f>IFERROR(E472/E$245,0)</f>
        <v/>
      </c>
      <c r="L472" s="262">
        <f>IFERROR(F472/F$245,0)</f>
        <v/>
      </c>
      <c r="M472" s="262">
        <f>IFERROR(G472/G$245,0)</f>
        <v/>
      </c>
      <c r="O472" s="262">
        <f>IFERROR(D472/C472-1,0)</f>
        <v/>
      </c>
      <c r="P472" s="262">
        <f>IFERROR(E472/D472-1,0)</f>
        <v/>
      </c>
      <c r="Q472" s="262">
        <f>IFERROR(F472/E472-1,0)</f>
        <v/>
      </c>
      <c r="R472" s="262">
        <f>IFERROR(G472/F472-1,0)</f>
        <v/>
      </c>
    </row>
    <row r="473" hidden="1">
      <c r="B473" s="122" t="n"/>
      <c r="H473" s="110" t="n"/>
      <c r="I473" s="262">
        <f>IFERROR(C473/C$245,0)</f>
        <v/>
      </c>
      <c r="J473" s="262">
        <f>IFERROR(D473/D$245,0)</f>
        <v/>
      </c>
      <c r="K473" s="262">
        <f>IFERROR(E473/E$245,0)</f>
        <v/>
      </c>
      <c r="L473" s="262">
        <f>IFERROR(F473/F$245,0)</f>
        <v/>
      </c>
      <c r="M473" s="262">
        <f>IFERROR(G473/G$245,0)</f>
        <v/>
      </c>
      <c r="O473" s="262">
        <f>IFERROR(D473/C473-1,0)</f>
        <v/>
      </c>
      <c r="P473" s="262">
        <f>IFERROR(E473/D473-1,0)</f>
        <v/>
      </c>
      <c r="Q473" s="262">
        <f>IFERROR(F473/E473-1,0)</f>
        <v/>
      </c>
      <c r="R473" s="262">
        <f>IFERROR(G473/F473-1,0)</f>
        <v/>
      </c>
    </row>
    <row r="474" hidden="1">
      <c r="B474" s="122" t="n"/>
      <c r="H474" s="110" t="n"/>
      <c r="I474" s="262">
        <f>IFERROR(C474/C$245,0)</f>
        <v/>
      </c>
      <c r="J474" s="262">
        <f>IFERROR(D474/D$245,0)</f>
        <v/>
      </c>
      <c r="K474" s="262">
        <f>IFERROR(E474/E$245,0)</f>
        <v/>
      </c>
      <c r="L474" s="262">
        <f>IFERROR(F474/F$245,0)</f>
        <v/>
      </c>
      <c r="M474" s="262">
        <f>IFERROR(G474/G$245,0)</f>
        <v/>
      </c>
      <c r="O474" s="262">
        <f>IFERROR(D474/C474-1,0)</f>
        <v/>
      </c>
      <c r="P474" s="262">
        <f>IFERROR(E474/D474-1,0)</f>
        <v/>
      </c>
      <c r="Q474" s="262">
        <f>IFERROR(F474/E474-1,0)</f>
        <v/>
      </c>
      <c r="R474" s="262">
        <f>IFERROR(G474/F474-1,0)</f>
        <v/>
      </c>
    </row>
    <row r="475" hidden="1">
      <c r="B475" s="122" t="n"/>
      <c r="H475" s="110" t="n"/>
      <c r="I475" s="262">
        <f>IFERROR(C475/C$245,0)</f>
        <v/>
      </c>
      <c r="J475" s="262">
        <f>IFERROR(D475/D$245,0)</f>
        <v/>
      </c>
      <c r="K475" s="262">
        <f>IFERROR(E475/E$245,0)</f>
        <v/>
      </c>
      <c r="L475" s="262">
        <f>IFERROR(F475/F$245,0)</f>
        <v/>
      </c>
      <c r="M475" s="262">
        <f>IFERROR(G475/G$245,0)</f>
        <v/>
      </c>
      <c r="O475" s="262">
        <f>IFERROR(D475/C475-1,0)</f>
        <v/>
      </c>
      <c r="P475" s="262">
        <f>IFERROR(E475/D475-1,0)</f>
        <v/>
      </c>
      <c r="Q475" s="262">
        <f>IFERROR(F475/E475-1,0)</f>
        <v/>
      </c>
      <c r="R475" s="262">
        <f>IFERROR(G475/F475-1,0)</f>
        <v/>
      </c>
    </row>
    <row r="476" hidden="1">
      <c r="B476" s="122" t="n"/>
      <c r="H476" s="110" t="n"/>
      <c r="I476" s="262">
        <f>IFERROR(C476/C$245,0)</f>
        <v/>
      </c>
      <c r="J476" s="262">
        <f>IFERROR(D476/D$245,0)</f>
        <v/>
      </c>
      <c r="K476" s="262">
        <f>IFERROR(E476/E$245,0)</f>
        <v/>
      </c>
      <c r="L476" s="262">
        <f>IFERROR(F476/F$245,0)</f>
        <v/>
      </c>
      <c r="M476" s="262">
        <f>IFERROR(G476/G$245,0)</f>
        <v/>
      </c>
      <c r="O476" s="262">
        <f>IFERROR(D476/C476-1,0)</f>
        <v/>
      </c>
      <c r="P476" s="262">
        <f>IFERROR(E476/D476-1,0)</f>
        <v/>
      </c>
      <c r="Q476" s="262">
        <f>IFERROR(F476/E476-1,0)</f>
        <v/>
      </c>
      <c r="R476" s="262">
        <f>IFERROR(G476/F476-1,0)</f>
        <v/>
      </c>
    </row>
    <row r="477" hidden="1">
      <c r="B477" s="122" t="n"/>
      <c r="H477" s="110" t="n"/>
      <c r="I477" s="262">
        <f>IFERROR(C477/C$245,0)</f>
        <v/>
      </c>
      <c r="J477" s="262">
        <f>IFERROR(D477/D$245,0)</f>
        <v/>
      </c>
      <c r="K477" s="262">
        <f>IFERROR(E477/E$245,0)</f>
        <v/>
      </c>
      <c r="L477" s="262">
        <f>IFERROR(F477/F$245,0)</f>
        <v/>
      </c>
      <c r="M477" s="262">
        <f>IFERROR(G477/G$245,0)</f>
        <v/>
      </c>
      <c r="O477" s="262">
        <f>IFERROR(D477/C477-1,0)</f>
        <v/>
      </c>
      <c r="P477" s="262">
        <f>IFERROR(E477/D477-1,0)</f>
        <v/>
      </c>
      <c r="Q477" s="262">
        <f>IFERROR(F477/E477-1,0)</f>
        <v/>
      </c>
      <c r="R477" s="262">
        <f>IFERROR(G477/F477-1,0)</f>
        <v/>
      </c>
    </row>
    <row r="478" hidden="1">
      <c r="B478" s="122" t="n"/>
      <c r="H478" s="110" t="n"/>
      <c r="I478" s="262">
        <f>IFERROR(C478/C$245,0)</f>
        <v/>
      </c>
      <c r="J478" s="262">
        <f>IFERROR(D478/D$245,0)</f>
        <v/>
      </c>
      <c r="K478" s="262">
        <f>IFERROR(E478/E$245,0)</f>
        <v/>
      </c>
      <c r="L478" s="262">
        <f>IFERROR(F478/F$245,0)</f>
        <v/>
      </c>
      <c r="M478" s="262">
        <f>IFERROR(G478/G$245,0)</f>
        <v/>
      </c>
      <c r="O478" s="262">
        <f>IFERROR(D478/C478-1,0)</f>
        <v/>
      </c>
      <c r="P478" s="262">
        <f>IFERROR(E478/D478-1,0)</f>
        <v/>
      </c>
      <c r="Q478" s="262">
        <f>IFERROR(F478/E478-1,0)</f>
        <v/>
      </c>
      <c r="R478" s="262">
        <f>IFERROR(G478/F478-1,0)</f>
        <v/>
      </c>
    </row>
    <row r="479">
      <c r="B479" s="122" t="inlineStr">
        <is>
          <t>Warranty &amp; replacement</t>
        </is>
      </c>
      <c r="H479" s="110" t="n"/>
      <c r="I479" s="262">
        <f>IFERROR(C479/C$245,0)</f>
        <v/>
      </c>
      <c r="J479" s="262">
        <f>IFERROR(D479/D$245,0)</f>
        <v/>
      </c>
      <c r="K479" s="262">
        <f>IFERROR(E479/E$245,0)</f>
        <v/>
      </c>
      <c r="L479" s="262">
        <f>IFERROR(F479/F$245,0)</f>
        <v/>
      </c>
      <c r="M479" s="262">
        <f>IFERROR(G479/G$245,0)</f>
        <v/>
      </c>
      <c r="O479" s="262">
        <f>IFERROR(D479/C479-1,0)</f>
        <v/>
      </c>
      <c r="P479" s="262">
        <f>IFERROR(E479/D479-1,0)</f>
        <v/>
      </c>
      <c r="Q479" s="262">
        <f>IFERROR(F479/E479-1,0)</f>
        <v/>
      </c>
      <c r="R479" s="262">
        <f>IFERROR(G479/F479-1,0)</f>
        <v/>
      </c>
    </row>
    <row r="480">
      <c r="B480" s="135" t="inlineStr">
        <is>
          <t>Total</t>
        </is>
      </c>
      <c r="C480" s="336">
        <f>C337+C388+C447</f>
        <v/>
      </c>
      <c r="D480" s="336">
        <f>D337+D388+D447</f>
        <v/>
      </c>
      <c r="E480" s="336">
        <f>E337+E388+E447</f>
        <v/>
      </c>
      <c r="F480" s="336">
        <f>F337+F388+F447</f>
        <v/>
      </c>
      <c r="G480" s="336">
        <f>G337+G388+G447</f>
        <v/>
      </c>
      <c r="H480" s="110" t="n"/>
      <c r="I480" s="268">
        <f>IFERROR(C480/C$245,0)</f>
        <v/>
      </c>
      <c r="J480" s="268">
        <f>IFERROR(D480/D$245,0)</f>
        <v/>
      </c>
      <c r="K480" s="268">
        <f>IFERROR(E480/E$245,0)</f>
        <v/>
      </c>
      <c r="L480" s="268">
        <f>IFERROR(F480/F$245,0)</f>
        <v/>
      </c>
      <c r="M480" s="268">
        <f>IFERROR(G480/G$245,0)</f>
        <v/>
      </c>
      <c r="O480" s="268">
        <f>IFERROR(D480/C480-1,0)</f>
        <v/>
      </c>
      <c r="P480" s="268">
        <f>IFERROR(E480/D480-1,0)</f>
        <v/>
      </c>
      <c r="Q480" s="268">
        <f>IFERROR(F480/E480-1,0)</f>
        <v/>
      </c>
      <c r="R480" s="268">
        <f>IFERROR(G480/F480-1,0)</f>
        <v/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tabSelected="1" zoomScale="96" zoomScaleNormal="104" workbookViewId="0">
      <selection activeCell="H1" sqref="H1"/>
    </sheetView>
  </sheetViews>
  <sheetFormatPr baseColWidth="8" defaultColWidth="9.1796875" defaultRowHeight="16"/>
  <cols>
    <col width="3" bestFit="1" customWidth="1" style="7" min="1" max="1"/>
    <col width="23.81640625" bestFit="1" customWidth="1" style="7" min="2" max="2"/>
    <col width="41.453125" bestFit="1" customWidth="1" style="7" min="3" max="3"/>
    <col width="7.6328125" customWidth="1" style="302" min="4" max="4"/>
    <col width="7.6328125" customWidth="1" style="365" min="5" max="5"/>
    <col width="7.6328125" customWidth="1" style="7" min="6" max="8"/>
    <col width="9.1796875" customWidth="1" style="7" min="9" max="16384"/>
  </cols>
  <sheetData>
    <row r="2">
      <c r="B2" s="34" t="inlineStr">
        <is>
          <t>Key ratio analysis:</t>
        </is>
      </c>
      <c r="C2" s="19" t="n"/>
      <c r="D2" s="366" t="n"/>
      <c r="E2" s="367" t="n"/>
    </row>
    <row r="3">
      <c r="B3" s="142" t="inlineStr">
        <is>
          <t>Particulars</t>
        </is>
      </c>
      <c r="C3" s="142" t="inlineStr">
        <is>
          <t>Formula</t>
        </is>
      </c>
      <c r="D3" s="368">
        <f>IS!C5</f>
        <v/>
      </c>
      <c r="E3" s="368">
        <f>IS!D5</f>
        <v/>
      </c>
      <c r="F3" s="368">
        <f>IS!E5</f>
        <v/>
      </c>
      <c r="G3" s="368">
        <f>IS!F5</f>
        <v/>
      </c>
      <c r="H3" s="368">
        <f>IS!G5</f>
        <v/>
      </c>
    </row>
    <row r="4">
      <c r="B4" s="32" t="inlineStr">
        <is>
          <t>Current ratio</t>
        </is>
      </c>
      <c r="C4" s="32" t="inlineStr">
        <is>
          <t>Current assets/ current liabilities</t>
        </is>
      </c>
      <c r="D4" s="369">
        <f>IFERROR(BS!C26/BS!C32,0)</f>
        <v/>
      </c>
      <c r="E4" s="369">
        <f>IFERROR(BS!D26/BS!D32,0)</f>
        <v/>
      </c>
      <c r="F4" s="369">
        <f>IFERROR(BS!E26/BS!E32,0)</f>
        <v/>
      </c>
      <c r="G4" s="369">
        <f>IFERROR(BS!F26/BS!F32,0)</f>
        <v/>
      </c>
      <c r="H4" s="369">
        <f>IFERROR(BS!G26/BS!G32,0)</f>
        <v/>
      </c>
    </row>
    <row r="5" hidden="1">
      <c r="B5" s="22" t="inlineStr">
        <is>
          <t>Current Ratio</t>
        </is>
      </c>
      <c r="C5" s="22" t="n"/>
      <c r="D5" s="22" t="n"/>
      <c r="E5" s="22" t="n"/>
      <c r="F5" s="22" t="n"/>
      <c r="G5" s="22" t="n"/>
      <c r="H5" s="22" t="n"/>
    </row>
    <row r="6">
      <c r="B6" s="22" t="inlineStr">
        <is>
          <t>Fixed assets turnover ratio</t>
        </is>
      </c>
      <c r="C6" s="22" t="inlineStr">
        <is>
          <t>Total revenue/ total fixed assets</t>
        </is>
      </c>
      <c r="D6" s="370">
        <f>IFERROR(IS!C7/BS!C16,0)</f>
        <v/>
      </c>
      <c r="E6" s="370">
        <f>IFERROR(IS!D7/BS!D16,0)</f>
        <v/>
      </c>
      <c r="F6" s="370">
        <f>IFERROR(IS!E7/BS!E16,0)</f>
        <v/>
      </c>
      <c r="G6" s="370">
        <f>IFERROR(IS!F7/BS!F16,0)</f>
        <v/>
      </c>
      <c r="H6" s="370">
        <f>IFERROR(IS!G7/BS!G16,0)</f>
        <v/>
      </c>
    </row>
    <row r="7">
      <c r="B7" s="22" t="inlineStr">
        <is>
          <t>Pre-tax ROCE (%)</t>
        </is>
      </c>
      <c r="C7" s="22" t="inlineStr">
        <is>
          <t>EBIT/ closing adjusted capital employed</t>
        </is>
      </c>
      <c r="D7" s="371">
        <f>IFERROR((IS!C19+IS!C18)/(BS!C10+BS!C13-BS!C19-BS!C18),0)</f>
        <v/>
      </c>
      <c r="E7" s="371">
        <f>IFERROR((IS!D19+IS!D18)/(BS!D10+BS!D13-BS!D19-BS!D18),0)</f>
        <v/>
      </c>
      <c r="F7" s="371">
        <f>IFERROR((IS!E19+IS!E18)/(BS!E10+BS!E13-BS!E19-BS!E18),0)</f>
        <v/>
      </c>
      <c r="G7" s="371">
        <f>IFERROR((IS!F19+IS!F18)/(BS!F10+BS!F13-BS!F19-BS!F18),0)</f>
        <v/>
      </c>
      <c r="H7" s="371">
        <f>IFERROR((IS!G19+IS!G18)/(BS!G10+BS!G13-BS!G19-BS!G18),0)</f>
        <v/>
      </c>
    </row>
    <row r="8">
      <c r="B8" s="22" t="inlineStr">
        <is>
          <t>Pre-tax ROE (%)</t>
        </is>
      </c>
      <c r="C8" s="22" t="inlineStr">
        <is>
          <t>PBT/ closing adjusted net worth</t>
        </is>
      </c>
      <c r="D8" s="372">
        <f>IFERROR((IS!C19)/(BS!C10-BS!C19-BS!C18),0)</f>
        <v/>
      </c>
      <c r="E8" s="372">
        <f>IFERROR((IS!D19)/(BS!D10-BS!D19-BS!D18),0)</f>
        <v/>
      </c>
      <c r="F8" s="372">
        <f>IFERROR((IS!E19)/(BS!E10-BS!E19-BS!E18),0)</f>
        <v/>
      </c>
      <c r="G8" s="372">
        <f>IFERROR((IS!F19)/(BS!F10-BS!F19-BS!F18),0)</f>
        <v/>
      </c>
      <c r="H8" s="372">
        <f>IFERROR((IS!G19)/(BS!G10-BS!G19-BS!G18),0)</f>
        <v/>
      </c>
    </row>
    <row r="9">
      <c r="B9" s="22" t="inlineStr">
        <is>
          <t>Operating EBITDA margin (%)</t>
        </is>
      </c>
      <c r="C9" s="22" t="inlineStr">
        <is>
          <t>Operating EBITDA/ total revenue</t>
        </is>
      </c>
      <c r="D9" s="372">
        <f>IS!H16</f>
        <v/>
      </c>
      <c r="E9" s="372">
        <f>IS!I16</f>
        <v/>
      </c>
      <c r="F9" s="372">
        <f>IS!J16</f>
        <v/>
      </c>
      <c r="G9" s="372">
        <f>IS!K16</f>
        <v/>
      </c>
      <c r="H9" s="372">
        <f>IS!L16</f>
        <v/>
      </c>
    </row>
    <row r="10">
      <c r="B10" s="22" t="inlineStr">
        <is>
          <t>Operating PBT margin (%)</t>
        </is>
      </c>
      <c r="C10" s="22" t="inlineStr">
        <is>
          <t>Operating PBT/ total revenue</t>
        </is>
      </c>
      <c r="D10" s="372">
        <f>IS!H19</f>
        <v/>
      </c>
      <c r="E10" s="372">
        <f>IS!I19</f>
        <v/>
      </c>
      <c r="F10" s="372">
        <f>IS!J19</f>
        <v/>
      </c>
      <c r="G10" s="372">
        <f>IS!K19</f>
        <v/>
      </c>
      <c r="H10" s="372">
        <f>IS!L19</f>
        <v/>
      </c>
    </row>
    <row r="11" ht="3" customHeight="1" thickBot="1">
      <c r="B11" s="25" t="n"/>
      <c r="C11" s="25" t="n"/>
      <c r="D11" s="373" t="n"/>
      <c r="E11" s="373" t="n"/>
      <c r="F11" s="18" t="n"/>
      <c r="G11" s="18" t="n"/>
      <c r="H11" s="18" t="n"/>
    </row>
    <row r="12">
      <c r="B12" s="22" t="n"/>
      <c r="C12" s="22" t="n"/>
      <c r="D12" s="372" t="n"/>
      <c r="E12" s="372" t="n"/>
    </row>
    <row r="13">
      <c r="B13" s="27" t="inlineStr">
        <is>
          <t>Cash conversion cycle:</t>
        </is>
      </c>
      <c r="C13" s="27" t="n"/>
      <c r="D13" s="372" t="n"/>
      <c r="E13" s="372" t="n"/>
    </row>
    <row r="14">
      <c r="B14" s="142" t="inlineStr">
        <is>
          <t>Particulars</t>
        </is>
      </c>
      <c r="C14" s="142" t="inlineStr">
        <is>
          <t>Formula</t>
        </is>
      </c>
      <c r="D14" s="368">
        <f>D3</f>
        <v/>
      </c>
      <c r="E14" s="368">
        <f>E3</f>
        <v/>
      </c>
      <c r="F14" s="368">
        <f>F3</f>
        <v/>
      </c>
      <c r="G14" s="368">
        <f>G3</f>
        <v/>
      </c>
      <c r="H14" s="368">
        <f>H3</f>
        <v/>
      </c>
    </row>
    <row r="15">
      <c r="B15" s="7" t="inlineStr">
        <is>
          <t>Receivables days</t>
        </is>
      </c>
      <c r="C15" s="61" t="inlineStr">
        <is>
          <t>(Closing receivables / Turnover)*365</t>
        </is>
      </c>
      <c r="D15" s="374">
        <f>IFERROR(BS!C21/IS!C7*365,0)</f>
        <v/>
      </c>
      <c r="E15" s="374">
        <f>IFERROR(BS!D21/IS!D7*365,0)</f>
        <v/>
      </c>
      <c r="F15" s="374">
        <f>IFERROR(BS!E21/IS!E7*365,0)</f>
        <v/>
      </c>
      <c r="G15" s="374">
        <f>IFERROR(BS!F21/IS!F7*365,0)</f>
        <v/>
      </c>
      <c r="H15" s="374">
        <f>IFERROR(BS!G21/IS!G7*365,0)</f>
        <v/>
      </c>
      <c r="I15" s="61" t="n"/>
    </row>
    <row r="16">
      <c r="B16" s="7" t="inlineStr">
        <is>
          <t>Inventory days</t>
        </is>
      </c>
      <c r="C16" s="61" t="inlineStr">
        <is>
          <t>(Closing inventory / Turnover)*365</t>
        </is>
      </c>
      <c r="D16" s="374">
        <f>IFERROR(BS!C22/IS!C7*365,0)</f>
        <v/>
      </c>
      <c r="E16" s="374">
        <f>IFERROR(BS!D22/IS!D7*365,0)</f>
        <v/>
      </c>
      <c r="F16" s="374">
        <f>IFERROR(BS!E22/IS!E7*365,0)</f>
        <v/>
      </c>
      <c r="G16" s="374">
        <f>IFERROR(BS!F22/IS!F7*365,0)</f>
        <v/>
      </c>
      <c r="H16" s="374">
        <f>IFERROR(BS!G22/IS!G7*365,0)</f>
        <v/>
      </c>
      <c r="I16" s="61" t="n"/>
    </row>
    <row r="17">
      <c r="B17" s="7" t="inlineStr">
        <is>
          <t>OCA, L&amp;A days</t>
        </is>
      </c>
      <c r="C17" s="61" t="inlineStr">
        <is>
          <t>(Closing OCA, L&amp;A / Turnover)*365</t>
        </is>
      </c>
      <c r="D17" s="374">
        <f>IFERROR((BS!C23+BS!C24+BS!C25)/IS!C7*365,0)</f>
        <v/>
      </c>
      <c r="E17" s="374">
        <f>IFERROR((BS!D23+BS!D24+BS!D25)/IS!D7*365,0)</f>
        <v/>
      </c>
      <c r="F17" s="374">
        <f>IFERROR((BS!E23+BS!E24+BS!E25)/IS!E7*365,0)</f>
        <v/>
      </c>
      <c r="G17" s="374">
        <f>IFERROR((BS!F23+BS!F24+BS!F25)/IS!F7*365,0)</f>
        <v/>
      </c>
      <c r="H17" s="374">
        <f>IFERROR((BS!G23+BS!G24+BS!G25)/IS!G7*365,0)</f>
        <v/>
      </c>
      <c r="I17" s="61" t="n"/>
    </row>
    <row r="18">
      <c r="B18" s="7" t="inlineStr">
        <is>
          <t>Payable days</t>
        </is>
      </c>
      <c r="C18" s="61" t="inlineStr">
        <is>
          <t>(Closing payables / Turnover)*365</t>
        </is>
      </c>
      <c r="D18" s="374">
        <f>IFERROR(BS!C28/IS!C7*365,0)</f>
        <v/>
      </c>
      <c r="E18" s="374">
        <f>IFERROR(BS!D28/IS!D7*365,0)</f>
        <v/>
      </c>
      <c r="F18" s="374">
        <f>IFERROR(BS!E28/IS!E7*365,0)</f>
        <v/>
      </c>
      <c r="G18" s="374">
        <f>IFERROR(BS!F28/IS!F7*365,0)</f>
        <v/>
      </c>
      <c r="H18" s="374">
        <f>IFERROR(BS!G28/IS!G7*365,0)</f>
        <v/>
      </c>
      <c r="I18" s="61" t="n"/>
    </row>
    <row r="19">
      <c r="B19" s="7" t="inlineStr">
        <is>
          <t>OCL, Provisions days</t>
        </is>
      </c>
      <c r="C19" s="61" t="inlineStr">
        <is>
          <t>(Closing OCL, Provisions / Turnover)*365</t>
        </is>
      </c>
      <c r="D19" s="374">
        <f>IFERROR((BS!C29+BS!C30+BS!C31)/IS!C7*365,0)</f>
        <v/>
      </c>
      <c r="E19" s="374">
        <f>IFERROR((BS!D29+BS!D30+BS!D31)/IS!D7*365,0)</f>
        <v/>
      </c>
      <c r="F19" s="374">
        <f>IFERROR((BS!E29+BS!E30+BS!E31)/IS!E7*365,0)</f>
        <v/>
      </c>
      <c r="G19" s="374">
        <f>IFERROR((BS!F29+BS!F30+BS!F31)/IS!F7*365,0)</f>
        <v/>
      </c>
      <c r="H19" s="374">
        <f>IFERROR((BS!G29+BS!G30+BS!G31)/IS!G7*365,0)</f>
        <v/>
      </c>
      <c r="I19" s="61" t="n"/>
    </row>
    <row r="20" ht="16.5" customHeight="1" thickBot="1">
      <c r="B20" s="144" t="inlineStr">
        <is>
          <t>Net cash conversion cycle</t>
        </is>
      </c>
      <c r="C20" s="144" t="n"/>
      <c r="D20" s="375">
        <f>SUM(D15:D17)-D18-D19</f>
        <v/>
      </c>
      <c r="E20" s="375">
        <f>SUM(E15:E17)-E18-E19</f>
        <v/>
      </c>
      <c r="F20" s="375">
        <f>SUM(F15:F17)-F18-F19</f>
        <v/>
      </c>
      <c r="G20" s="375">
        <f>SUM(G15:G17)-G18-G19</f>
        <v/>
      </c>
      <c r="H20" s="375">
        <f>SUM(H15:H17)-H18-H19</f>
        <v/>
      </c>
    </row>
    <row r="21">
      <c r="B21" s="9" t="n"/>
      <c r="C21" s="9" t="n"/>
      <c r="D21" s="376" t="n"/>
      <c r="E21" s="377" t="n"/>
    </row>
    <row r="22">
      <c r="C22" s="114" t="inlineStr">
        <is>
          <t>Net current asset days/ working capital days/ cash conversion cycle</t>
        </is>
      </c>
      <c r="D22" s="330">
        <f>IFERROR(BS!C33/IS!C7*365,0)</f>
        <v/>
      </c>
      <c r="E22" s="330">
        <f>IFERROR(BS!D33/IS!D7*365,0)</f>
        <v/>
      </c>
      <c r="F22" s="330">
        <f>IFERROR(BS!E33/IS!E7*365,0)</f>
        <v/>
      </c>
      <c r="G22" s="330">
        <f>IFERROR(BS!F33/IS!F7*365,0)</f>
        <v/>
      </c>
      <c r="H22" s="330">
        <f>IFERROR(BS!G33/IS!G7*365,0)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2026-10-14T07:21:32Z</dcterms:modified>
</cp:coreProperties>
</file>